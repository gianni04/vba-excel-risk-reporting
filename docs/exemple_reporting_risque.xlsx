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se" sheetId="1" r:id="rId1"/>
    <sheet name="Positions" sheetId="2" r:id="rId2"/>
    <sheet name="Historique" sheetId="3" r:id="rId3"/>
    <sheet name="Limites" sheetId="4" r:id="rId4"/>
    <sheet name="Graphiques" sheetId="5" r:id="rId5"/>
    <sheet name="Documentation" sheetId="6" r:id="rId6"/>
  </sheets>
  <definedNames>
    <definedName name="DrawdownFonds">Historique!$G$4:$G$262</definedName>
    <definedName name="NiveauConfianceVaR">Synthese!$D$5</definedName>
    <definedName name="RendementActif">Historique!$F$4:$F$262</definedName>
    <definedName name="RendementsBench">Historique!$E$4:$E$262</definedName>
    <definedName name="RendementsFonds">Historique!$D$4:$D$262</definedName>
    <definedName name="TauxSansRisque">Synthese!$D$6</definedName>
    <definedName name="VLBench">Historique!$C$4:$C$262</definedName>
    <definedName name="VLFonds">Historique!$B$4:$B$262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<sst xmlns="http://schemas.openxmlformats.org/spreadsheetml/2006/main" count="279" uniqueCount="198">
  <si>
    <t>Positions du portefeuille - Fonds Actions Europe Diversifie</t>
  </si>
  <si>
    <t>Base de calcul de l'ensemble des expositions et concentrations du reporting.</t>
  </si>
  <si>
    <t>ISIN</t>
  </si>
  <si>
    <t>Libelle</t>
  </si>
  <si>
    <t>Secteur</t>
  </si>
  <si>
    <t>Devise</t>
  </si>
  <si>
    <t>Notation</t>
  </si>
  <si>
    <t>Exposition (EUR)</t>
  </si>
  <si>
    <t>Duration</t>
  </si>
  <si>
    <t>Beta individuel</t>
  </si>
  <si>
    <t>Poids</t>
  </si>
  <si>
    <t>Exposition Abs</t>
  </si>
  <si>
    <t>XX3090700594</t>
  </si>
  <si>
    <t>Emetteur 01</t>
  </si>
  <si>
    <t>Technologie</t>
  </si>
  <si>
    <t>EUR</t>
  </si>
  <si>
    <t>BBB</t>
  </si>
  <si>
    <t>XX8452951478</t>
  </si>
  <si>
    <t>Emetteur 02</t>
  </si>
  <si>
    <t>Sante</t>
  </si>
  <si>
    <t>GBP</t>
  </si>
  <si>
    <t>A</t>
  </si>
  <si>
    <t>XX5751724146</t>
  </si>
  <si>
    <t>Emetteur 03</t>
  </si>
  <si>
    <t>Energie</t>
  </si>
  <si>
    <t>USD</t>
  </si>
  <si>
    <t>BB</t>
  </si>
  <si>
    <t>XX9150426362</t>
  </si>
  <si>
    <t>Emetteur 04</t>
  </si>
  <si>
    <t>B</t>
  </si>
  <si>
    <t>XX2508062918</t>
  </si>
  <si>
    <t>Emetteur 05</t>
  </si>
  <si>
    <t>AAA</t>
  </si>
  <si>
    <t>XX7621802713</t>
  </si>
  <si>
    <t>Emetteur 06</t>
  </si>
  <si>
    <t>Materiaux</t>
  </si>
  <si>
    <t>XX9147558552</t>
  </si>
  <si>
    <t>Emetteur 07</t>
  </si>
  <si>
    <t>XX4200766380</t>
  </si>
  <si>
    <t>Emetteur 08</t>
  </si>
  <si>
    <t>Telecommunications</t>
  </si>
  <si>
    <t>XX8333021974</t>
  </si>
  <si>
    <t>Emetteur 09</t>
  </si>
  <si>
    <t>XX6992054877</t>
  </si>
  <si>
    <t>Emetteur 10</t>
  </si>
  <si>
    <t>XX3186434294</t>
  </si>
  <si>
    <t>Emetteur 11</t>
  </si>
  <si>
    <t>Consommation</t>
  </si>
  <si>
    <t>XX8059199240</t>
  </si>
  <si>
    <t>Emetteur 12</t>
  </si>
  <si>
    <t>Industrie</t>
  </si>
  <si>
    <t>XX7996462514</t>
  </si>
  <si>
    <t>Emetteur 13</t>
  </si>
  <si>
    <t>Finance</t>
  </si>
  <si>
    <t>XX5442430831</t>
  </si>
  <si>
    <t>Emetteur 14</t>
  </si>
  <si>
    <t>CHF</t>
  </si>
  <si>
    <t>AA</t>
  </si>
  <si>
    <t>XX6273238334</t>
  </si>
  <si>
    <t>Emetteur 15</t>
  </si>
  <si>
    <t>XX6659677465</t>
  </si>
  <si>
    <t>Emetteur 16</t>
  </si>
  <si>
    <t>XX5614068330</t>
  </si>
  <si>
    <t>Emetteur 17</t>
  </si>
  <si>
    <t>XX5141492278</t>
  </si>
  <si>
    <t>Emetteur 18</t>
  </si>
  <si>
    <t>XX8045847096</t>
  </si>
  <si>
    <t>Emetteur 19</t>
  </si>
  <si>
    <t>XX3869724406</t>
  </si>
  <si>
    <t>Emetteur 20</t>
  </si>
  <si>
    <t>XX3988004190</t>
  </si>
  <si>
    <t>Emetteur 21</t>
  </si>
  <si>
    <t>XX6490968249</t>
  </si>
  <si>
    <t>Emetteur 22</t>
  </si>
  <si>
    <t>XX7001623374</t>
  </si>
  <si>
    <t>Emetteur 23</t>
  </si>
  <si>
    <t>XX3362951263</t>
  </si>
  <si>
    <t>Emetteur 24</t>
  </si>
  <si>
    <t>XX4909472098</t>
  </si>
  <si>
    <t>Emetteur 25</t>
  </si>
  <si>
    <t>Historique de valeur liquidative (VL)</t>
  </si>
  <si>
    <t>Rendements et drawdown calcules par formule a partir des VL (colonnes B et C).</t>
  </si>
  <si>
    <t>Date</t>
  </si>
  <si>
    <t>VL Fonds</t>
  </si>
  <si>
    <t>VL Bench</t>
  </si>
  <si>
    <t>Rendement Fonds</t>
  </si>
  <si>
    <t>Rendement Bench</t>
  </si>
  <si>
    <t>Rendement Actif</t>
  </si>
  <si>
    <t>Drawdown Fonds</t>
  </si>
  <si>
    <t>Reporting Risque Quotidien - Fonds Actions Europe Diversifie</t>
  </si>
  <si>
    <t>Portefeuille :</t>
  </si>
  <si>
    <t>Fonds Actions Europe Diversifie</t>
  </si>
  <si>
    <t>Date de valorisation :</t>
  </si>
  <si>
    <t>Nombre de jours d'historique :</t>
  </si>
  <si>
    <t>Niveau de confiance VaR :</t>
  </si>
  <si>
    <t>Taux sans risque annuel :</t>
  </si>
  <si>
    <t>Code</t>
  </si>
  <si>
    <t>Indicateur</t>
  </si>
  <si>
    <t>Valeur</t>
  </si>
  <si>
    <t>Formule Excel</t>
  </si>
  <si>
    <t>VAR_MAX</t>
  </si>
  <si>
    <t>VaR historique 99% (1 jour)</t>
  </si>
  <si>
    <t>VAR_PARAM</t>
  </si>
  <si>
    <t>VaR parametrique 99% (1 jour)</t>
  </si>
  <si>
    <t>ES_975</t>
  </si>
  <si>
    <t>Expected Shortfall 97,5%</t>
  </si>
  <si>
    <t>VOL_ANN</t>
  </si>
  <si>
    <t>Volatilite annualisee</t>
  </si>
  <si>
    <t>TE_MAX</t>
  </si>
  <si>
    <t>Tracking Error annualisee</t>
  </si>
  <si>
    <t>BETA</t>
  </si>
  <si>
    <t>Beta vs benchmark</t>
  </si>
  <si>
    <t>SHARPE</t>
  </si>
  <si>
    <t>Ratio de Sharpe</t>
  </si>
  <si>
    <t>INFO_RATIO</t>
  </si>
  <si>
    <t>Ratio d'information</t>
  </si>
  <si>
    <t>MAXDD</t>
  </si>
  <si>
    <t>Max Drawdown</t>
  </si>
  <si>
    <t>CONCENTRATION_MAX</t>
  </si>
  <si>
    <t>Concentration emetteur max</t>
  </si>
  <si>
    <t>EXPO_BRUTE</t>
  </si>
  <si>
    <t>Exposition brute</t>
  </si>
  <si>
    <t>EXPO_NETTE</t>
  </si>
  <si>
    <t>Exposition nette</t>
  </si>
  <si>
    <t>NB_LIGNES</t>
  </si>
  <si>
    <t>Nombre de lignes en portefeuille</t>
  </si>
  <si>
    <t>SECTEUR_MAX</t>
  </si>
  <si>
    <t>Secteur le plus expose</t>
  </si>
  <si>
    <t>NB_DEPASSEMENTS</t>
  </si>
  <si>
    <t>Nombre de depassements de limites</t>
  </si>
  <si>
    <t>Referentiel et controle des limites de risque</t>
  </si>
  <si>
    <t>Valeur constatee calculee par formule (XLOOKUP vers Synthese pour VAR/TE/CONCENTRATION, SUMIFS sur Positions pour les limites sectorielles).</t>
  </si>
  <si>
    <t>Type</t>
  </si>
  <si>
    <t>Limite</t>
  </si>
  <si>
    <t>Seuil alerte</t>
  </si>
  <si>
    <t>Valeur constatee</t>
  </si>
  <si>
    <t>Utilisation</t>
  </si>
  <si>
    <t>Statut</t>
  </si>
  <si>
    <t>VAR</t>
  </si>
  <si>
    <t>TE</t>
  </si>
  <si>
    <t>Tracking error annualisee</t>
  </si>
  <si>
    <t>CONCENTRATION</t>
  </si>
  <si>
    <t>SECTEUR_CONSOMMATION</t>
  </si>
  <si>
    <t>SECTEUR</t>
  </si>
  <si>
    <t>Exposition sectorielle max - Consommation</t>
  </si>
  <si>
    <t>SECTEUR_ENERGIE</t>
  </si>
  <si>
    <t>Exposition sectorielle max - Energie</t>
  </si>
  <si>
    <t>SECTEUR_FINANCE</t>
  </si>
  <si>
    <t>Exposition sectorielle max - Finance</t>
  </si>
  <si>
    <t>SECTEUR_INDUSTRIE</t>
  </si>
  <si>
    <t>Exposition sectorielle max - Industrie</t>
  </si>
  <si>
    <t>SECTEUR_MATERIAUX</t>
  </si>
  <si>
    <t>Exposition sectorielle max - Materiaux</t>
  </si>
  <si>
    <t>SECTEUR_SANTE</t>
  </si>
  <si>
    <t>Exposition sectorielle max - Sante</t>
  </si>
  <si>
    <t>SECTEUR_TECHNOLOGIE</t>
  </si>
  <si>
    <t>Exposition sectorielle max - Technologie</t>
  </si>
  <si>
    <t>SECTEUR_TELECOMMUNICATIONS</t>
  </si>
  <si>
    <t>Exposition sectorielle max - Telecommunications</t>
  </si>
  <si>
    <t>Graphiques de reporting</t>
  </si>
  <si>
    <t>Documentation du reporting</t>
  </si>
  <si>
    <t>Objet</t>
  </si>
  <si>
    <t>Reporting risque quotidien : VaR, ES, TE, beta, drawdown, controle de limites.</t>
  </si>
  <si>
    <t>Methodologie VaR historique</t>
  </si>
  <si>
    <t>Percentile empirique des rendements passes (PERCENTILE.INC), sans hypothese de distribution.</t>
  </si>
  <si>
    <t>Methodologie VaR parametrique</t>
  </si>
  <si>
    <t>Hypothese de rendements gaussiens, quantile via NORM.S.INV, echelle racine du temps.</t>
  </si>
  <si>
    <t>Expected Shortfall</t>
  </si>
  <si>
    <t>Moyenne des pertes au-dela du seuil de VaR (moyenne de la queue de distribution).</t>
  </si>
  <si>
    <t>Tracking Error</t>
  </si>
  <si>
    <t>Ecart-type annualise des rendements actifs (fonds - benchmark).</t>
  </si>
  <si>
    <t>Beta</t>
  </si>
  <si>
    <t>Pente de la regression lineaire des rendements du fonds sur ceux du benchmark (fonction SLOPE).</t>
  </si>
  <si>
    <t>Bloomberg</t>
  </si>
  <si>
    <t>La collecte de donnees de marche en conditions reelles s'appuie sur le Bloomberg Excel Add-in (fonctions BDP/BDH/BDS, voir vba/modBloomberg.bas). Cet add-in NECESSITE un terminal Bloomberg actif et une session BBComm ouverte. Le module bloomberg_stub.py de ce depot simule localement ces fonctions pour permettre de developper et tester le reporting hors terminal.</t>
  </si>
  <si>
    <t>Limites de risque</t>
  </si>
  <si>
    <t>Chaque limite est controlee automatiquement (feuille Limites) : statut OK / ALERTE / DEPASSEMENT selon le taux d'utilisation par rapport au seuil d'alerte parametre.</t>
  </si>
  <si>
    <t>Avertissement</t>
  </si>
  <si>
    <t>Donnees entierement synthetiques, generees a des fins de demonstration. Ne constituent en aucun cas des donnees de marche reelles ni un conseil en investissement.</t>
  </si>
  <si>
    <t>Champs Bloomberg documentes</t>
  </si>
  <si>
    <t>Champ</t>
  </si>
  <si>
    <t>Description</t>
  </si>
  <si>
    <t>PX_LAST</t>
  </si>
  <si>
    <t>Dernier cours de cloture / cours courant</t>
  </si>
  <si>
    <t>VOLATILITY_90D</t>
  </si>
  <si>
    <t>Volatilite historique 90 jours (%, annualisee)</t>
  </si>
  <si>
    <t>CRNCY</t>
  </si>
  <si>
    <t>Devise de cotation ISO 4217</t>
  </si>
  <si>
    <t>DUR_ADJ_MID</t>
  </si>
  <si>
    <t>Duration modifiee (obligations), mid-market</t>
  </si>
  <si>
    <t>CUR_MKT_CAP</t>
  </si>
  <si>
    <t>Capitalisation boursiere courante</t>
  </si>
  <si>
    <t>NAME</t>
  </si>
  <si>
    <t>Nom court de l'emetteur / instrument</t>
  </si>
  <si>
    <t>GICS_SECTOR_NAME</t>
  </si>
  <si>
    <t>Secteur GICS de l'emetteur</t>
  </si>
  <si>
    <t>RSK_BB_ISSUER_RATING</t>
  </si>
  <si>
    <t>Notation credit composite Bloomberg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</si>
</sst>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0.00%"/>
    <numFmt numFmtId="166" formatCode="#,##0.00"/>
    <numFmt numFmtId="167" formatCode="#,##0 €"/>
  </numFmts>
  <fonts count="6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/>
    <xf numFmtId="166" fontId="0" fillId="0" borderId="0" xfId="0" applyNumberFormat="1"/>
    <xf numFmtId="167" fontId="0" fillId="0" borderId="0" xfId="0" applyNumberFormat="1"/>
    <xf numFmtId="0" fontId="5" fillId="0" borderId="0" xfId="0" applyFont="1"/>
  </cellXfs>
  <cellStyles count="1">
    <cellStyle name="Normal" xfId="0" builtinId="0"/>
  </cellStyles>
  <dxfs count="3"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Evolution de la valeur liquidative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Fonds</c:v>
          </c:tx>
          <c:spPr>
            <a:ln w="25400"/>
          </c:spPr>
          <c:marker>
            <c:symbol val="none"/>
          </c:marker>
          <c:cat>
            <c:numRef>
              <c:f>Historique!$A$4:$A$262</c:f>
              <c:numCache>
                <c:formatCode>General</c:formatCode>
                <c:ptCount val="259"/>
                <c:pt idx="0">
                  <c:v>45873</c:v>
                </c:pt>
                <c:pt idx="1">
                  <c:v>45874</c:v>
                </c:pt>
                <c:pt idx="2">
                  <c:v>45875</c:v>
                </c:pt>
                <c:pt idx="3">
                  <c:v>45876</c:v>
                </c:pt>
                <c:pt idx="4">
                  <c:v>45877</c:v>
                </c:pt>
                <c:pt idx="5">
                  <c:v>45880</c:v>
                </c:pt>
                <c:pt idx="6">
                  <c:v>45881</c:v>
                </c:pt>
                <c:pt idx="7">
                  <c:v>45882</c:v>
                </c:pt>
                <c:pt idx="8">
                  <c:v>45883</c:v>
                </c:pt>
                <c:pt idx="9">
                  <c:v>45884</c:v>
                </c:pt>
                <c:pt idx="10">
                  <c:v>45887</c:v>
                </c:pt>
                <c:pt idx="11">
                  <c:v>45888</c:v>
                </c:pt>
                <c:pt idx="12">
                  <c:v>45889</c:v>
                </c:pt>
                <c:pt idx="13">
                  <c:v>45890</c:v>
                </c:pt>
                <c:pt idx="14">
                  <c:v>45891</c:v>
                </c:pt>
                <c:pt idx="15">
                  <c:v>45894</c:v>
                </c:pt>
                <c:pt idx="16">
                  <c:v>45895</c:v>
                </c:pt>
                <c:pt idx="17">
                  <c:v>45896</c:v>
                </c:pt>
                <c:pt idx="18">
                  <c:v>45897</c:v>
                </c:pt>
                <c:pt idx="19">
                  <c:v>45898</c:v>
                </c:pt>
                <c:pt idx="20">
                  <c:v>45901</c:v>
                </c:pt>
                <c:pt idx="21">
                  <c:v>45902</c:v>
                </c:pt>
                <c:pt idx="22">
                  <c:v>45903</c:v>
                </c:pt>
                <c:pt idx="23">
                  <c:v>45904</c:v>
                </c:pt>
                <c:pt idx="24">
                  <c:v>45905</c:v>
                </c:pt>
                <c:pt idx="25">
                  <c:v>45908</c:v>
                </c:pt>
                <c:pt idx="26">
                  <c:v>45909</c:v>
                </c:pt>
                <c:pt idx="27">
                  <c:v>45910</c:v>
                </c:pt>
                <c:pt idx="28">
                  <c:v>45911</c:v>
                </c:pt>
                <c:pt idx="29">
                  <c:v>45912</c:v>
                </c:pt>
                <c:pt idx="30">
                  <c:v>45915</c:v>
                </c:pt>
                <c:pt idx="31">
                  <c:v>45916</c:v>
                </c:pt>
                <c:pt idx="32">
                  <c:v>45917</c:v>
                </c:pt>
                <c:pt idx="33">
                  <c:v>45918</c:v>
                </c:pt>
                <c:pt idx="34">
                  <c:v>45919</c:v>
                </c:pt>
                <c:pt idx="35">
                  <c:v>45922</c:v>
                </c:pt>
                <c:pt idx="36">
                  <c:v>45923</c:v>
                </c:pt>
                <c:pt idx="37">
                  <c:v>45924</c:v>
                </c:pt>
                <c:pt idx="38">
                  <c:v>45925</c:v>
                </c:pt>
                <c:pt idx="39">
                  <c:v>45926</c:v>
                </c:pt>
                <c:pt idx="40">
                  <c:v>45929</c:v>
                </c:pt>
                <c:pt idx="41">
                  <c:v>45930</c:v>
                </c:pt>
                <c:pt idx="42">
                  <c:v>45931</c:v>
                </c:pt>
                <c:pt idx="43">
                  <c:v>45932</c:v>
                </c:pt>
                <c:pt idx="44">
                  <c:v>45933</c:v>
                </c:pt>
                <c:pt idx="45">
                  <c:v>45936</c:v>
                </c:pt>
                <c:pt idx="46">
                  <c:v>45937</c:v>
                </c:pt>
                <c:pt idx="47">
                  <c:v>45938</c:v>
                </c:pt>
                <c:pt idx="48">
                  <c:v>45939</c:v>
                </c:pt>
                <c:pt idx="49">
                  <c:v>45940</c:v>
                </c:pt>
                <c:pt idx="50">
                  <c:v>45943</c:v>
                </c:pt>
                <c:pt idx="51">
                  <c:v>45944</c:v>
                </c:pt>
                <c:pt idx="52">
                  <c:v>45945</c:v>
                </c:pt>
                <c:pt idx="53">
                  <c:v>45946</c:v>
                </c:pt>
                <c:pt idx="54">
                  <c:v>45947</c:v>
                </c:pt>
                <c:pt idx="55">
                  <c:v>45950</c:v>
                </c:pt>
                <c:pt idx="56">
                  <c:v>45951</c:v>
                </c:pt>
                <c:pt idx="57">
                  <c:v>45952</c:v>
                </c:pt>
                <c:pt idx="58">
                  <c:v>45953</c:v>
                </c:pt>
                <c:pt idx="59">
                  <c:v>45954</c:v>
                </c:pt>
                <c:pt idx="60">
                  <c:v>45957</c:v>
                </c:pt>
                <c:pt idx="61">
                  <c:v>45958</c:v>
                </c:pt>
                <c:pt idx="62">
                  <c:v>45959</c:v>
                </c:pt>
                <c:pt idx="63">
                  <c:v>45960</c:v>
                </c:pt>
                <c:pt idx="64">
                  <c:v>45961</c:v>
                </c:pt>
                <c:pt idx="65">
                  <c:v>45964</c:v>
                </c:pt>
                <c:pt idx="66">
                  <c:v>45965</c:v>
                </c:pt>
                <c:pt idx="67">
                  <c:v>45966</c:v>
                </c:pt>
                <c:pt idx="68">
                  <c:v>45967</c:v>
                </c:pt>
                <c:pt idx="69">
                  <c:v>45968</c:v>
                </c:pt>
                <c:pt idx="70">
                  <c:v>45971</c:v>
                </c:pt>
                <c:pt idx="71">
                  <c:v>45972</c:v>
                </c:pt>
                <c:pt idx="72">
                  <c:v>45973</c:v>
                </c:pt>
                <c:pt idx="73">
                  <c:v>45974</c:v>
                </c:pt>
                <c:pt idx="74">
                  <c:v>45975</c:v>
                </c:pt>
                <c:pt idx="75">
                  <c:v>45978</c:v>
                </c:pt>
                <c:pt idx="76">
                  <c:v>45979</c:v>
                </c:pt>
                <c:pt idx="77">
                  <c:v>45980</c:v>
                </c:pt>
                <c:pt idx="78">
                  <c:v>45981</c:v>
                </c:pt>
                <c:pt idx="79">
                  <c:v>45982</c:v>
                </c:pt>
                <c:pt idx="80">
                  <c:v>45985</c:v>
                </c:pt>
                <c:pt idx="81">
                  <c:v>45986</c:v>
                </c:pt>
                <c:pt idx="82">
                  <c:v>45987</c:v>
                </c:pt>
                <c:pt idx="83">
                  <c:v>45988</c:v>
                </c:pt>
                <c:pt idx="84">
                  <c:v>45989</c:v>
                </c:pt>
                <c:pt idx="85">
                  <c:v>45992</c:v>
                </c:pt>
                <c:pt idx="86">
                  <c:v>45993</c:v>
                </c:pt>
                <c:pt idx="87">
                  <c:v>45994</c:v>
                </c:pt>
                <c:pt idx="88">
                  <c:v>45995</c:v>
                </c:pt>
                <c:pt idx="89">
                  <c:v>45996</c:v>
                </c:pt>
                <c:pt idx="90">
                  <c:v>45999</c:v>
                </c:pt>
                <c:pt idx="91">
                  <c:v>46000</c:v>
                </c:pt>
                <c:pt idx="92">
                  <c:v>46001</c:v>
                </c:pt>
                <c:pt idx="93">
                  <c:v>46002</c:v>
                </c:pt>
                <c:pt idx="94">
                  <c:v>46003</c:v>
                </c:pt>
                <c:pt idx="95">
                  <c:v>46006</c:v>
                </c:pt>
                <c:pt idx="96">
                  <c:v>46007</c:v>
                </c:pt>
                <c:pt idx="97">
                  <c:v>46008</c:v>
                </c:pt>
                <c:pt idx="98">
                  <c:v>46009</c:v>
                </c:pt>
                <c:pt idx="99">
                  <c:v>46010</c:v>
                </c:pt>
                <c:pt idx="100">
                  <c:v>46013</c:v>
                </c:pt>
                <c:pt idx="101">
                  <c:v>46014</c:v>
                </c:pt>
                <c:pt idx="102">
                  <c:v>46015</c:v>
                </c:pt>
                <c:pt idx="103">
                  <c:v>46016</c:v>
                </c:pt>
                <c:pt idx="104">
                  <c:v>46017</c:v>
                </c:pt>
                <c:pt idx="105">
                  <c:v>46020</c:v>
                </c:pt>
                <c:pt idx="106">
                  <c:v>46021</c:v>
                </c:pt>
                <c:pt idx="107">
                  <c:v>46022</c:v>
                </c:pt>
                <c:pt idx="108">
                  <c:v>46023</c:v>
                </c:pt>
                <c:pt idx="109">
                  <c:v>46024</c:v>
                </c:pt>
                <c:pt idx="110">
                  <c:v>46027</c:v>
                </c:pt>
                <c:pt idx="111">
                  <c:v>46028</c:v>
                </c:pt>
                <c:pt idx="112">
                  <c:v>46029</c:v>
                </c:pt>
                <c:pt idx="113">
                  <c:v>46030</c:v>
                </c:pt>
                <c:pt idx="114">
                  <c:v>46031</c:v>
                </c:pt>
                <c:pt idx="115">
                  <c:v>46034</c:v>
                </c:pt>
                <c:pt idx="116">
                  <c:v>46035</c:v>
                </c:pt>
                <c:pt idx="117">
                  <c:v>46036</c:v>
                </c:pt>
                <c:pt idx="118">
                  <c:v>46037</c:v>
                </c:pt>
                <c:pt idx="119">
                  <c:v>46038</c:v>
                </c:pt>
                <c:pt idx="120">
                  <c:v>46041</c:v>
                </c:pt>
                <c:pt idx="121">
                  <c:v>46042</c:v>
                </c:pt>
                <c:pt idx="122">
                  <c:v>46043</c:v>
                </c:pt>
                <c:pt idx="123">
                  <c:v>46044</c:v>
                </c:pt>
                <c:pt idx="124">
                  <c:v>46045</c:v>
                </c:pt>
                <c:pt idx="125">
                  <c:v>46048</c:v>
                </c:pt>
                <c:pt idx="126">
                  <c:v>46049</c:v>
                </c:pt>
                <c:pt idx="127">
                  <c:v>46050</c:v>
                </c:pt>
                <c:pt idx="128">
                  <c:v>46051</c:v>
                </c:pt>
                <c:pt idx="129">
                  <c:v>46052</c:v>
                </c:pt>
                <c:pt idx="130">
                  <c:v>46055</c:v>
                </c:pt>
                <c:pt idx="131">
                  <c:v>46056</c:v>
                </c:pt>
                <c:pt idx="132">
                  <c:v>46057</c:v>
                </c:pt>
                <c:pt idx="133">
                  <c:v>46058</c:v>
                </c:pt>
                <c:pt idx="134">
                  <c:v>46059</c:v>
                </c:pt>
                <c:pt idx="135">
                  <c:v>46062</c:v>
                </c:pt>
                <c:pt idx="136">
                  <c:v>46063</c:v>
                </c:pt>
                <c:pt idx="137">
                  <c:v>46064</c:v>
                </c:pt>
                <c:pt idx="138">
                  <c:v>46065</c:v>
                </c:pt>
                <c:pt idx="139">
                  <c:v>46066</c:v>
                </c:pt>
                <c:pt idx="140">
                  <c:v>46069</c:v>
                </c:pt>
                <c:pt idx="141">
                  <c:v>46070</c:v>
                </c:pt>
                <c:pt idx="142">
                  <c:v>46071</c:v>
                </c:pt>
                <c:pt idx="143">
                  <c:v>46072</c:v>
                </c:pt>
                <c:pt idx="144">
                  <c:v>46073</c:v>
                </c:pt>
                <c:pt idx="145">
                  <c:v>46076</c:v>
                </c:pt>
                <c:pt idx="146">
                  <c:v>46077</c:v>
                </c:pt>
                <c:pt idx="147">
                  <c:v>46078</c:v>
                </c:pt>
                <c:pt idx="148">
                  <c:v>46079</c:v>
                </c:pt>
                <c:pt idx="149">
                  <c:v>46080</c:v>
                </c:pt>
                <c:pt idx="150">
                  <c:v>46083</c:v>
                </c:pt>
                <c:pt idx="151">
                  <c:v>46084</c:v>
                </c:pt>
                <c:pt idx="152">
                  <c:v>46085</c:v>
                </c:pt>
                <c:pt idx="153">
                  <c:v>46086</c:v>
                </c:pt>
                <c:pt idx="154">
                  <c:v>46087</c:v>
                </c:pt>
                <c:pt idx="155">
                  <c:v>46090</c:v>
                </c:pt>
                <c:pt idx="156">
                  <c:v>46091</c:v>
                </c:pt>
                <c:pt idx="157">
                  <c:v>46092</c:v>
                </c:pt>
                <c:pt idx="158">
                  <c:v>46093</c:v>
                </c:pt>
                <c:pt idx="159">
                  <c:v>46094</c:v>
                </c:pt>
                <c:pt idx="160">
                  <c:v>46097</c:v>
                </c:pt>
                <c:pt idx="161">
                  <c:v>46098</c:v>
                </c:pt>
                <c:pt idx="162">
                  <c:v>46099</c:v>
                </c:pt>
                <c:pt idx="163">
                  <c:v>46100</c:v>
                </c:pt>
                <c:pt idx="164">
                  <c:v>46101</c:v>
                </c:pt>
                <c:pt idx="165">
                  <c:v>46104</c:v>
                </c:pt>
                <c:pt idx="166">
                  <c:v>46105</c:v>
                </c:pt>
                <c:pt idx="167">
                  <c:v>46106</c:v>
                </c:pt>
                <c:pt idx="168">
                  <c:v>46107</c:v>
                </c:pt>
                <c:pt idx="169">
                  <c:v>46108</c:v>
                </c:pt>
                <c:pt idx="170">
                  <c:v>46111</c:v>
                </c:pt>
                <c:pt idx="171">
                  <c:v>46112</c:v>
                </c:pt>
                <c:pt idx="172">
                  <c:v>46113</c:v>
                </c:pt>
                <c:pt idx="173">
                  <c:v>46114</c:v>
                </c:pt>
                <c:pt idx="174">
                  <c:v>46115</c:v>
                </c:pt>
                <c:pt idx="175">
                  <c:v>46118</c:v>
                </c:pt>
                <c:pt idx="176">
                  <c:v>46119</c:v>
                </c:pt>
                <c:pt idx="177">
                  <c:v>46120</c:v>
                </c:pt>
                <c:pt idx="178">
                  <c:v>46121</c:v>
                </c:pt>
                <c:pt idx="179">
                  <c:v>46122</c:v>
                </c:pt>
                <c:pt idx="180">
                  <c:v>46125</c:v>
                </c:pt>
                <c:pt idx="181">
                  <c:v>46126</c:v>
                </c:pt>
                <c:pt idx="182">
                  <c:v>46127</c:v>
                </c:pt>
                <c:pt idx="183">
                  <c:v>46128</c:v>
                </c:pt>
                <c:pt idx="184">
                  <c:v>46129</c:v>
                </c:pt>
                <c:pt idx="185">
                  <c:v>46132</c:v>
                </c:pt>
                <c:pt idx="186">
                  <c:v>46133</c:v>
                </c:pt>
                <c:pt idx="187">
                  <c:v>46134</c:v>
                </c:pt>
                <c:pt idx="188">
                  <c:v>46135</c:v>
                </c:pt>
                <c:pt idx="189">
                  <c:v>46136</c:v>
                </c:pt>
                <c:pt idx="190">
                  <c:v>46139</c:v>
                </c:pt>
                <c:pt idx="191">
                  <c:v>46140</c:v>
                </c:pt>
                <c:pt idx="192">
                  <c:v>46141</c:v>
                </c:pt>
                <c:pt idx="193">
                  <c:v>46142</c:v>
                </c:pt>
                <c:pt idx="194">
                  <c:v>46143</c:v>
                </c:pt>
                <c:pt idx="195">
                  <c:v>46146</c:v>
                </c:pt>
                <c:pt idx="196">
                  <c:v>46147</c:v>
                </c:pt>
                <c:pt idx="197">
                  <c:v>46148</c:v>
                </c:pt>
                <c:pt idx="198">
                  <c:v>46149</c:v>
                </c:pt>
                <c:pt idx="199">
                  <c:v>46150</c:v>
                </c:pt>
                <c:pt idx="200">
                  <c:v>46153</c:v>
                </c:pt>
                <c:pt idx="201">
                  <c:v>46154</c:v>
                </c:pt>
                <c:pt idx="202">
                  <c:v>46155</c:v>
                </c:pt>
                <c:pt idx="203">
                  <c:v>46156</c:v>
                </c:pt>
                <c:pt idx="204">
                  <c:v>46157</c:v>
                </c:pt>
                <c:pt idx="205">
                  <c:v>46160</c:v>
                </c:pt>
                <c:pt idx="206">
                  <c:v>46161</c:v>
                </c:pt>
                <c:pt idx="207">
                  <c:v>46162</c:v>
                </c:pt>
                <c:pt idx="208">
                  <c:v>46163</c:v>
                </c:pt>
                <c:pt idx="209">
                  <c:v>46164</c:v>
                </c:pt>
                <c:pt idx="210">
                  <c:v>46167</c:v>
                </c:pt>
                <c:pt idx="211">
                  <c:v>46168</c:v>
                </c:pt>
                <c:pt idx="212">
                  <c:v>46169</c:v>
                </c:pt>
                <c:pt idx="213">
                  <c:v>46170</c:v>
                </c:pt>
                <c:pt idx="214">
                  <c:v>46171</c:v>
                </c:pt>
                <c:pt idx="215">
                  <c:v>46174</c:v>
                </c:pt>
                <c:pt idx="216">
                  <c:v>46175</c:v>
                </c:pt>
                <c:pt idx="217">
                  <c:v>46176</c:v>
                </c:pt>
                <c:pt idx="218">
                  <c:v>46177</c:v>
                </c:pt>
                <c:pt idx="219">
                  <c:v>46178</c:v>
                </c:pt>
                <c:pt idx="220">
                  <c:v>46181</c:v>
                </c:pt>
                <c:pt idx="221">
                  <c:v>46182</c:v>
                </c:pt>
                <c:pt idx="222">
                  <c:v>46183</c:v>
                </c:pt>
                <c:pt idx="223">
                  <c:v>46184</c:v>
                </c:pt>
                <c:pt idx="224">
                  <c:v>46185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46195</c:v>
                </c:pt>
                <c:pt idx="231">
                  <c:v>46196</c:v>
                </c:pt>
                <c:pt idx="232">
                  <c:v>46197</c:v>
                </c:pt>
                <c:pt idx="233">
                  <c:v>46198</c:v>
                </c:pt>
                <c:pt idx="234">
                  <c:v>46199</c:v>
                </c:pt>
                <c:pt idx="235">
                  <c:v>46202</c:v>
                </c:pt>
                <c:pt idx="236">
                  <c:v>46203</c:v>
                </c:pt>
                <c:pt idx="237">
                  <c:v>46204</c:v>
                </c:pt>
                <c:pt idx="238">
                  <c:v>46205</c:v>
                </c:pt>
                <c:pt idx="239">
                  <c:v>46206</c:v>
                </c:pt>
                <c:pt idx="240">
                  <c:v>46209</c:v>
                </c:pt>
                <c:pt idx="241">
                  <c:v>46210</c:v>
                </c:pt>
                <c:pt idx="242">
                  <c:v>46211</c:v>
                </c:pt>
                <c:pt idx="243">
                  <c:v>46212</c:v>
                </c:pt>
                <c:pt idx="244">
                  <c:v>46213</c:v>
                </c:pt>
                <c:pt idx="245">
                  <c:v>46216</c:v>
                </c:pt>
                <c:pt idx="246">
                  <c:v>46217</c:v>
                </c:pt>
                <c:pt idx="247">
                  <c:v>46218</c:v>
                </c:pt>
                <c:pt idx="248">
                  <c:v>46219</c:v>
                </c:pt>
                <c:pt idx="249">
                  <c:v>46220</c:v>
                </c:pt>
                <c:pt idx="250">
                  <c:v>46223</c:v>
                </c:pt>
                <c:pt idx="251">
                  <c:v>46224</c:v>
                </c:pt>
                <c:pt idx="252">
                  <c:v>46225</c:v>
                </c:pt>
                <c:pt idx="253">
                  <c:v>46226</c:v>
                </c:pt>
                <c:pt idx="254">
                  <c:v>46227</c:v>
                </c:pt>
                <c:pt idx="255">
                  <c:v>46230</c:v>
                </c:pt>
                <c:pt idx="256">
                  <c:v>46231</c:v>
                </c:pt>
                <c:pt idx="257">
                  <c:v>46232</c:v>
                </c:pt>
                <c:pt idx="258">
                  <c:v>46233</c:v>
                </c:pt>
              </c:numCache>
            </c:numRef>
          </c:cat>
          <c:val>
            <c:numRef>
              <c:f>Historique!$B$4:$B$262</c:f>
              <c:numCache>
                <c:formatCode>General</c:formatCode>
                <c:ptCount val="259"/>
                <c:pt idx="0">
                  <c:v>100.3336120638622</c:v>
                </c:pt>
                <c:pt idx="1">
                  <c:v>99.23330723420501</c:v>
                </c:pt>
                <c:pt idx="2">
                  <c:v>98.696221492359</c:v>
                </c:pt>
                <c:pt idx="3">
                  <c:v>97.58812768257468</c:v>
                </c:pt>
                <c:pt idx="4">
                  <c:v>97.57416924701397</c:v>
                </c:pt>
                <c:pt idx="5">
                  <c:v>99.22729282345593</c:v>
                </c:pt>
                <c:pt idx="6">
                  <c:v>99.21452696820549</c:v>
                </c:pt>
                <c:pt idx="7">
                  <c:v>97.4586909857282</c:v>
                </c:pt>
                <c:pt idx="8">
                  <c:v>96.71904538022467</c:v>
                </c:pt>
                <c:pt idx="9">
                  <c:v>96.14471845470763</c:v>
                </c:pt>
                <c:pt idx="10">
                  <c:v>95.46966233466644</c:v>
                </c:pt>
                <c:pt idx="11">
                  <c:v>94.34848898174992</c:v>
                </c:pt>
                <c:pt idx="12">
                  <c:v>94.65871704322736</c:v>
                </c:pt>
                <c:pt idx="13">
                  <c:v>94.75241268364628</c:v>
                </c:pt>
                <c:pt idx="14">
                  <c:v>93.99148219770696</c:v>
                </c:pt>
                <c:pt idx="15">
                  <c:v>93.66998447635996</c:v>
                </c:pt>
                <c:pt idx="16">
                  <c:v>93.87835015013614</c:v>
                </c:pt>
                <c:pt idx="17">
                  <c:v>94.49433766154135</c:v>
                </c:pt>
                <c:pt idx="18">
                  <c:v>95.83039082145183</c:v>
                </c:pt>
                <c:pt idx="19">
                  <c:v>94.75731249185372</c:v>
                </c:pt>
                <c:pt idx="20">
                  <c:v>94.56814768633689</c:v>
                </c:pt>
                <c:pt idx="21">
                  <c:v>93.62554284011175</c:v>
                </c:pt>
                <c:pt idx="22">
                  <c:v>93.57607819575671</c:v>
                </c:pt>
                <c:pt idx="23">
                  <c:v>94.1085110753299</c:v>
                </c:pt>
                <c:pt idx="24">
                  <c:v>94.04431389159492</c:v>
                </c:pt>
                <c:pt idx="25">
                  <c:v>95.17890108830071</c:v>
                </c:pt>
                <c:pt idx="26">
                  <c:v>96.99386447239348</c:v>
                </c:pt>
                <c:pt idx="27">
                  <c:v>95.89144042577151</c:v>
                </c:pt>
                <c:pt idx="28">
                  <c:v>96.55093322610739</c:v>
                </c:pt>
                <c:pt idx="29">
                  <c:v>96.48860827718252</c:v>
                </c:pt>
                <c:pt idx="30">
                  <c:v>95.92829482167045</c:v>
                </c:pt>
                <c:pt idx="31">
                  <c:v>94.52033573110563</c:v>
                </c:pt>
                <c:pt idx="32">
                  <c:v>93.47650708391281</c:v>
                </c:pt>
                <c:pt idx="33">
                  <c:v>94.58718864846387</c:v>
                </c:pt>
                <c:pt idx="34">
                  <c:v>95.19620202099514</c:v>
                </c:pt>
                <c:pt idx="35">
                  <c:v>95.80763749751181</c:v>
                </c:pt>
                <c:pt idx="36">
                  <c:v>95.82305733581529</c:v>
                </c:pt>
                <c:pt idx="37">
                  <c:v>96.08670922515155</c:v>
                </c:pt>
                <c:pt idx="38">
                  <c:v>95.35478860264739</c:v>
                </c:pt>
                <c:pt idx="39">
                  <c:v>95.77098284857377</c:v>
                </c:pt>
                <c:pt idx="40">
                  <c:v>95.66269431615954</c:v>
                </c:pt>
                <c:pt idx="41">
                  <c:v>95.92775469117242</c:v>
                </c:pt>
                <c:pt idx="42">
                  <c:v>95.67618884263949</c:v>
                </c:pt>
                <c:pt idx="43">
                  <c:v>96.18324636710982</c:v>
                </c:pt>
                <c:pt idx="44">
                  <c:v>97.51677973784892</c:v>
                </c:pt>
                <c:pt idx="45">
                  <c:v>96.95039008265428</c:v>
                </c:pt>
                <c:pt idx="46">
                  <c:v>96.54067054510456</c:v>
                </c:pt>
                <c:pt idx="47">
                  <c:v>97.3292837432936</c:v>
                </c:pt>
                <c:pt idx="48">
                  <c:v>97.40461222611412</c:v>
                </c:pt>
                <c:pt idx="49">
                  <c:v>97.32712977181588</c:v>
                </c:pt>
                <c:pt idx="50">
                  <c:v>96.93789251572049</c:v>
                </c:pt>
                <c:pt idx="51">
                  <c:v>96.61276183077204</c:v>
                </c:pt>
                <c:pt idx="52">
                  <c:v>97.3322842184246</c:v>
                </c:pt>
                <c:pt idx="53">
                  <c:v>98.56238947248201</c:v>
                </c:pt>
                <c:pt idx="54">
                  <c:v>98.41688014379291</c:v>
                </c:pt>
                <c:pt idx="55">
                  <c:v>98.32796963131599</c:v>
                </c:pt>
                <c:pt idx="56">
                  <c:v>96.34037908288886</c:v>
                </c:pt>
                <c:pt idx="57">
                  <c:v>95.51205911351755</c:v>
                </c:pt>
                <c:pt idx="58">
                  <c:v>94.80267582105719</c:v>
                </c:pt>
                <c:pt idx="59">
                  <c:v>95.19898870664849</c:v>
                </c:pt>
                <c:pt idx="60">
                  <c:v>96.52276851911171</c:v>
                </c:pt>
                <c:pt idx="61">
                  <c:v>96.69707458369102</c:v>
                </c:pt>
                <c:pt idx="62">
                  <c:v>95.81003156209606</c:v>
                </c:pt>
                <c:pt idx="63">
                  <c:v>97.12918541986042</c:v>
                </c:pt>
                <c:pt idx="64">
                  <c:v>95.89975295516493</c:v>
                </c:pt>
                <c:pt idx="65">
                  <c:v>95.44842288436463</c:v>
                </c:pt>
                <c:pt idx="66">
                  <c:v>95.58457768685311</c:v>
                </c:pt>
                <c:pt idx="67">
                  <c:v>96.10894300052666</c:v>
                </c:pt>
                <c:pt idx="68">
                  <c:v>98.55276743016456</c:v>
                </c:pt>
                <c:pt idx="69">
                  <c:v>98.71231745540967</c:v>
                </c:pt>
                <c:pt idx="70">
                  <c:v>99.19684750416089</c:v>
                </c:pt>
                <c:pt idx="71">
                  <c:v>100.1596464228112</c:v>
                </c:pt>
                <c:pt idx="72">
                  <c:v>101.4808374183285</c:v>
                </c:pt>
                <c:pt idx="73">
                  <c:v>100.8433357223372</c:v>
                </c:pt>
                <c:pt idx="74">
                  <c:v>100.8449578032556</c:v>
                </c:pt>
                <c:pt idx="75">
                  <c:v>99.84740359863224</c:v>
                </c:pt>
                <c:pt idx="76">
                  <c:v>98.71737345720662</c:v>
                </c:pt>
                <c:pt idx="77">
                  <c:v>97.55620925393555</c:v>
                </c:pt>
                <c:pt idx="78">
                  <c:v>97.16739681694978</c:v>
                </c:pt>
                <c:pt idx="79">
                  <c:v>96.88023464018897</c:v>
                </c:pt>
                <c:pt idx="80">
                  <c:v>96.21661217204415</c:v>
                </c:pt>
                <c:pt idx="81">
                  <c:v>97.06869682067817</c:v>
                </c:pt>
                <c:pt idx="82">
                  <c:v>97.20826452796018</c:v>
                </c:pt>
                <c:pt idx="83">
                  <c:v>97.28594653655502</c:v>
                </c:pt>
                <c:pt idx="84">
                  <c:v>97.97927075802669</c:v>
                </c:pt>
                <c:pt idx="85">
                  <c:v>97.52829219870679</c:v>
                </c:pt>
                <c:pt idx="86">
                  <c:v>97.64143527352405</c:v>
                </c:pt>
                <c:pt idx="87">
                  <c:v>97.74721971104917</c:v>
                </c:pt>
                <c:pt idx="88">
                  <c:v>98.55137145818595</c:v>
                </c:pt>
                <c:pt idx="89">
                  <c:v>99.1196245031242</c:v>
                </c:pt>
                <c:pt idx="90">
                  <c:v>99.16048104952246</c:v>
                </c:pt>
                <c:pt idx="91">
                  <c:v>98.90436417958468</c:v>
                </c:pt>
                <c:pt idx="92">
                  <c:v>98.70088569138643</c:v>
                </c:pt>
                <c:pt idx="93">
                  <c:v>98.82164260301937</c:v>
                </c:pt>
                <c:pt idx="94">
                  <c:v>97.76780611106103</c:v>
                </c:pt>
                <c:pt idx="95">
                  <c:v>97.25888196586811</c:v>
                </c:pt>
                <c:pt idx="96">
                  <c:v>98.66285259389674</c:v>
                </c:pt>
                <c:pt idx="97">
                  <c:v>98.62592484024056</c:v>
                </c:pt>
                <c:pt idx="98">
                  <c:v>99.45543280334128</c:v>
                </c:pt>
                <c:pt idx="99">
                  <c:v>99.08037883423236</c:v>
                </c:pt>
                <c:pt idx="100">
                  <c:v>98.81655691528874</c:v>
                </c:pt>
                <c:pt idx="101">
                  <c:v>98.8333992445891</c:v>
                </c:pt>
                <c:pt idx="102">
                  <c:v>99.83883018109351</c:v>
                </c:pt>
                <c:pt idx="103">
                  <c:v>99.14740884446084</c:v>
                </c:pt>
                <c:pt idx="104">
                  <c:v>98.5811108777111</c:v>
                </c:pt>
                <c:pt idx="105">
                  <c:v>98.20142429868741</c:v>
                </c:pt>
                <c:pt idx="106">
                  <c:v>97.79262415524251</c:v>
                </c:pt>
                <c:pt idx="107">
                  <c:v>98.2100579356818</c:v>
                </c:pt>
                <c:pt idx="108">
                  <c:v>98.73008467268963</c:v>
                </c:pt>
                <c:pt idx="109">
                  <c:v>98.38392347489463</c:v>
                </c:pt>
                <c:pt idx="110">
                  <c:v>98.45513958301819</c:v>
                </c:pt>
                <c:pt idx="111">
                  <c:v>99.31669150006989</c:v>
                </c:pt>
                <c:pt idx="112">
                  <c:v>99.04357612349753</c:v>
                </c:pt>
                <c:pt idx="113">
                  <c:v>99.39569344252799</c:v>
                </c:pt>
                <c:pt idx="114">
                  <c:v>100.8901873173852</c:v>
                </c:pt>
                <c:pt idx="115">
                  <c:v>100.270952547132</c:v>
                </c:pt>
                <c:pt idx="116">
                  <c:v>101.2276343792641</c:v>
                </c:pt>
                <c:pt idx="117">
                  <c:v>102.0408088481506</c:v>
                </c:pt>
                <c:pt idx="118">
                  <c:v>101.2096076804692</c:v>
                </c:pt>
                <c:pt idx="119">
                  <c:v>101.1808418387074</c:v>
                </c:pt>
                <c:pt idx="120">
                  <c:v>102.8259357989299</c:v>
                </c:pt>
                <c:pt idx="121">
                  <c:v>103.2115403060488</c:v>
                </c:pt>
                <c:pt idx="122">
                  <c:v>103.008044579181</c:v>
                </c:pt>
                <c:pt idx="123">
                  <c:v>103.5146325085554</c:v>
                </c:pt>
                <c:pt idx="124">
                  <c:v>103.7849592657261</c:v>
                </c:pt>
                <c:pt idx="125">
                  <c:v>102.6517347946605</c:v>
                </c:pt>
                <c:pt idx="126">
                  <c:v>102.7991108244101</c:v>
                </c:pt>
                <c:pt idx="127">
                  <c:v>103.498757271427</c:v>
                </c:pt>
                <c:pt idx="128">
                  <c:v>102.5999089064974</c:v>
                </c:pt>
                <c:pt idx="129">
                  <c:v>104.2806192349979</c:v>
                </c:pt>
                <c:pt idx="130">
                  <c:v>105.109432116994</c:v>
                </c:pt>
                <c:pt idx="131">
                  <c:v>104.7313878312705</c:v>
                </c:pt>
                <c:pt idx="132">
                  <c:v>105.2245175689376</c:v>
                </c:pt>
                <c:pt idx="133">
                  <c:v>104.0289669854648</c:v>
                </c:pt>
                <c:pt idx="134">
                  <c:v>104.9294957093625</c:v>
                </c:pt>
                <c:pt idx="135">
                  <c:v>105.2215742187017</c:v>
                </c:pt>
                <c:pt idx="136">
                  <c:v>105.6481799482456</c:v>
                </c:pt>
                <c:pt idx="137">
                  <c:v>104.6365804326809</c:v>
                </c:pt>
                <c:pt idx="138">
                  <c:v>105.4441315899731</c:v>
                </c:pt>
                <c:pt idx="139">
                  <c:v>105.0114430750631</c:v>
                </c:pt>
                <c:pt idx="140">
                  <c:v>104.947340029529</c:v>
                </c:pt>
                <c:pt idx="141">
                  <c:v>105.3547109514388</c:v>
                </c:pt>
                <c:pt idx="142">
                  <c:v>105.3103913016391</c:v>
                </c:pt>
                <c:pt idx="143">
                  <c:v>104.7376714960667</c:v>
                </c:pt>
                <c:pt idx="144">
                  <c:v>105.4335202192226</c:v>
                </c:pt>
                <c:pt idx="145">
                  <c:v>106.1871149000149</c:v>
                </c:pt>
                <c:pt idx="146">
                  <c:v>106.6481690702942</c:v>
                </c:pt>
                <c:pt idx="147">
                  <c:v>107.0467269485</c:v>
                </c:pt>
                <c:pt idx="148">
                  <c:v>105.9328564626606</c:v>
                </c:pt>
                <c:pt idx="149">
                  <c:v>106.5039203484827</c:v>
                </c:pt>
                <c:pt idx="150">
                  <c:v>106.9857440102703</c:v>
                </c:pt>
                <c:pt idx="151">
                  <c:v>105.5667602536704</c:v>
                </c:pt>
                <c:pt idx="152">
                  <c:v>106.0889190873324</c:v>
                </c:pt>
                <c:pt idx="153">
                  <c:v>105.6796028336876</c:v>
                </c:pt>
                <c:pt idx="154">
                  <c:v>106.5828191895284</c:v>
                </c:pt>
                <c:pt idx="155">
                  <c:v>105.7119562886696</c:v>
                </c:pt>
                <c:pt idx="156">
                  <c:v>106.0699999807685</c:v>
                </c:pt>
                <c:pt idx="157">
                  <c:v>106.5776785225187</c:v>
                </c:pt>
                <c:pt idx="158">
                  <c:v>107.0097665625298</c:v>
                </c:pt>
                <c:pt idx="159">
                  <c:v>105.6708554985573</c:v>
                </c:pt>
                <c:pt idx="160">
                  <c:v>105.6882995842928</c:v>
                </c:pt>
                <c:pt idx="161">
                  <c:v>105.6231354200342</c:v>
                </c:pt>
                <c:pt idx="162">
                  <c:v>104.2954620295496</c:v>
                </c:pt>
                <c:pt idx="163">
                  <c:v>104.1249557255325</c:v>
                </c:pt>
                <c:pt idx="164">
                  <c:v>103.7117077318371</c:v>
                </c:pt>
                <c:pt idx="165">
                  <c:v>104.7128639925036</c:v>
                </c:pt>
                <c:pt idx="166">
                  <c:v>105.9109366316486</c:v>
                </c:pt>
                <c:pt idx="167">
                  <c:v>106.8404093303936</c:v>
                </c:pt>
                <c:pt idx="168">
                  <c:v>106.0213201229615</c:v>
                </c:pt>
                <c:pt idx="169">
                  <c:v>105.8205922634249</c:v>
                </c:pt>
                <c:pt idx="170">
                  <c:v>105.1125089647147</c:v>
                </c:pt>
                <c:pt idx="171">
                  <c:v>104.5846680410057</c:v>
                </c:pt>
                <c:pt idx="172">
                  <c:v>105.4403077848672</c:v>
                </c:pt>
                <c:pt idx="173">
                  <c:v>103.9460325569805</c:v>
                </c:pt>
                <c:pt idx="174">
                  <c:v>102.9018638226353</c:v>
                </c:pt>
                <c:pt idx="175">
                  <c:v>103.4711923816245</c:v>
                </c:pt>
                <c:pt idx="176">
                  <c:v>101.2295513640627</c:v>
                </c:pt>
                <c:pt idx="177">
                  <c:v>101.624241934489</c:v>
                </c:pt>
                <c:pt idx="178">
                  <c:v>101.7213944156412</c:v>
                </c:pt>
                <c:pt idx="179">
                  <c:v>102.3927212904227</c:v>
                </c:pt>
                <c:pt idx="180">
                  <c:v>103.2955224227413</c:v>
                </c:pt>
                <c:pt idx="181">
                  <c:v>104.7048190868134</c:v>
                </c:pt>
                <c:pt idx="182">
                  <c:v>105.3249500752686</c:v>
                </c:pt>
                <c:pt idx="183">
                  <c:v>105.9245135408954</c:v>
                </c:pt>
                <c:pt idx="184">
                  <c:v>106.6635024994704</c:v>
                </c:pt>
                <c:pt idx="185">
                  <c:v>107.1481849703124</c:v>
                </c:pt>
                <c:pt idx="186">
                  <c:v>107.5399596639051</c:v>
                </c:pt>
                <c:pt idx="187">
                  <c:v>105.8356314524805</c:v>
                </c:pt>
                <c:pt idx="188">
                  <c:v>106.7284695335452</c:v>
                </c:pt>
                <c:pt idx="189">
                  <c:v>106.6244873282556</c:v>
                </c:pt>
                <c:pt idx="190">
                  <c:v>105.2654750939131</c:v>
                </c:pt>
                <c:pt idx="191">
                  <c:v>104.2667933235131</c:v>
                </c:pt>
                <c:pt idx="192">
                  <c:v>105.2780606397925</c:v>
                </c:pt>
                <c:pt idx="193">
                  <c:v>104.5779359658214</c:v>
                </c:pt>
                <c:pt idx="194">
                  <c:v>103.579854037207</c:v>
                </c:pt>
                <c:pt idx="195">
                  <c:v>105.0604174824546</c:v>
                </c:pt>
                <c:pt idx="196">
                  <c:v>105.5614002653452</c:v>
                </c:pt>
                <c:pt idx="197">
                  <c:v>104.7834781953823</c:v>
                </c:pt>
                <c:pt idx="198">
                  <c:v>103.7702602975066</c:v>
                </c:pt>
                <c:pt idx="199">
                  <c:v>105.0117741807228</c:v>
                </c:pt>
                <c:pt idx="200">
                  <c:v>105.0198236756904</c:v>
                </c:pt>
                <c:pt idx="201">
                  <c:v>104.7858399983576</c:v>
                </c:pt>
                <c:pt idx="202">
                  <c:v>105.6217401162558</c:v>
                </c:pt>
                <c:pt idx="203">
                  <c:v>103.5901177638708</c:v>
                </c:pt>
                <c:pt idx="204">
                  <c:v>103.3251540516807</c:v>
                </c:pt>
                <c:pt idx="205">
                  <c:v>104.3877210596311</c:v>
                </c:pt>
                <c:pt idx="206">
                  <c:v>104.2784502179086</c:v>
                </c:pt>
                <c:pt idx="207">
                  <c:v>103.4854069186207</c:v>
                </c:pt>
                <c:pt idx="208">
                  <c:v>103.464791467155</c:v>
                </c:pt>
                <c:pt idx="209">
                  <c:v>103.1409458132058</c:v>
                </c:pt>
                <c:pt idx="210">
                  <c:v>103.5511002340277</c:v>
                </c:pt>
                <c:pt idx="211">
                  <c:v>105.5398330207693</c:v>
                </c:pt>
                <c:pt idx="212">
                  <c:v>106.2082161122262</c:v>
                </c:pt>
                <c:pt idx="213">
                  <c:v>105.1323333418787</c:v>
                </c:pt>
                <c:pt idx="214">
                  <c:v>104.759675128764</c:v>
                </c:pt>
                <c:pt idx="215">
                  <c:v>105.3983068120996</c:v>
                </c:pt>
                <c:pt idx="216">
                  <c:v>104.7753077247103</c:v>
                </c:pt>
                <c:pt idx="217">
                  <c:v>104.4910306737996</c:v>
                </c:pt>
                <c:pt idx="218">
                  <c:v>104.2506436121944</c:v>
                </c:pt>
                <c:pt idx="219">
                  <c:v>104.0625233722657</c:v>
                </c:pt>
                <c:pt idx="220">
                  <c:v>102.233106157322</c:v>
                </c:pt>
                <c:pt idx="221">
                  <c:v>102.2662888478376</c:v>
                </c:pt>
                <c:pt idx="222">
                  <c:v>102.9021919624426</c:v>
                </c:pt>
                <c:pt idx="223">
                  <c:v>102.7486979591594</c:v>
                </c:pt>
                <c:pt idx="224">
                  <c:v>103.3910913653928</c:v>
                </c:pt>
                <c:pt idx="225">
                  <c:v>104.7620732386447</c:v>
                </c:pt>
                <c:pt idx="226">
                  <c:v>103.6838666587008</c:v>
                </c:pt>
                <c:pt idx="227">
                  <c:v>103.7101796067372</c:v>
                </c:pt>
                <c:pt idx="228">
                  <c:v>104.7086821357119</c:v>
                </c:pt>
                <c:pt idx="229">
                  <c:v>104.7072165667012</c:v>
                </c:pt>
                <c:pt idx="230">
                  <c:v>104.5197968717876</c:v>
                </c:pt>
                <c:pt idx="231">
                  <c:v>105.3117532931094</c:v>
                </c:pt>
                <c:pt idx="232">
                  <c:v>104.9102343870513</c:v>
                </c:pt>
                <c:pt idx="233">
                  <c:v>104.2358408295057</c:v>
                </c:pt>
                <c:pt idx="234">
                  <c:v>104.4325570095563</c:v>
                </c:pt>
                <c:pt idx="235">
                  <c:v>103.6289784588807</c:v>
                </c:pt>
                <c:pt idx="236">
                  <c:v>104.7054132224519</c:v>
                </c:pt>
                <c:pt idx="237">
                  <c:v>105.0719294723209</c:v>
                </c:pt>
                <c:pt idx="238">
                  <c:v>103.0689627254</c:v>
                </c:pt>
                <c:pt idx="239">
                  <c:v>102.9859767024155</c:v>
                </c:pt>
                <c:pt idx="240">
                  <c:v>103.3893605044514</c:v>
                </c:pt>
                <c:pt idx="241">
                  <c:v>103.2710882792834</c:v>
                </c:pt>
                <c:pt idx="242">
                  <c:v>102.8996735716999</c:v>
                </c:pt>
                <c:pt idx="243">
                  <c:v>101.6746908812535</c:v>
                </c:pt>
                <c:pt idx="244">
                  <c:v>102.8343604767462</c:v>
                </c:pt>
                <c:pt idx="245">
                  <c:v>101.8063837463947</c:v>
                </c:pt>
                <c:pt idx="246">
                  <c:v>102.1922212935074</c:v>
                </c:pt>
                <c:pt idx="247">
                  <c:v>103.1245371452382</c:v>
                </c:pt>
                <c:pt idx="248">
                  <c:v>103.5829568292116</c:v>
                </c:pt>
                <c:pt idx="249">
                  <c:v>102.5445374018646</c:v>
                </c:pt>
                <c:pt idx="250">
                  <c:v>102.6706523588907</c:v>
                </c:pt>
                <c:pt idx="251">
                  <c:v>101.1334099711217</c:v>
                </c:pt>
                <c:pt idx="252">
                  <c:v>100.0557038077226</c:v>
                </c:pt>
                <c:pt idx="253">
                  <c:v>98.10472677704188</c:v>
                </c:pt>
                <c:pt idx="254">
                  <c:v>98.13053012713537</c:v>
                </c:pt>
                <c:pt idx="255">
                  <c:v>99.04439789017876</c:v>
                </c:pt>
                <c:pt idx="256">
                  <c:v>97.86766033458422</c:v>
                </c:pt>
                <c:pt idx="257">
                  <c:v>97.62190860259625</c:v>
                </c:pt>
                <c:pt idx="258">
                  <c:v>97.78836769142222</c:v>
                </c:pt>
              </c:numCache>
            </c:numRef>
          </c:val>
        </c:ser>
        <c:ser>
          <c:idx val="1"/>
          <c:order val="1"/>
          <c:tx>
            <c:v>Benchmark</c:v>
          </c:tx>
          <c:spPr>
            <a:ln w="25400">
              <a:prstDash val="dash"/>
            </a:ln>
          </c:spPr>
          <c:marker>
            <c:symbol val="none"/>
          </c:marker>
          <c:cat>
            <c:numRef>
              <c:f>Historique!$A$4:$A$262</c:f>
              <c:numCache>
                <c:formatCode>General</c:formatCode>
                <c:ptCount val="259"/>
                <c:pt idx="0">
                  <c:v>45873</c:v>
                </c:pt>
                <c:pt idx="1">
                  <c:v>45874</c:v>
                </c:pt>
                <c:pt idx="2">
                  <c:v>45875</c:v>
                </c:pt>
                <c:pt idx="3">
                  <c:v>45876</c:v>
                </c:pt>
                <c:pt idx="4">
                  <c:v>45877</c:v>
                </c:pt>
                <c:pt idx="5">
                  <c:v>45880</c:v>
                </c:pt>
                <c:pt idx="6">
                  <c:v>45881</c:v>
                </c:pt>
                <c:pt idx="7">
                  <c:v>45882</c:v>
                </c:pt>
                <c:pt idx="8">
                  <c:v>45883</c:v>
                </c:pt>
                <c:pt idx="9">
                  <c:v>45884</c:v>
                </c:pt>
                <c:pt idx="10">
                  <c:v>45887</c:v>
                </c:pt>
                <c:pt idx="11">
                  <c:v>45888</c:v>
                </c:pt>
                <c:pt idx="12">
                  <c:v>45889</c:v>
                </c:pt>
                <c:pt idx="13">
                  <c:v>45890</c:v>
                </c:pt>
                <c:pt idx="14">
                  <c:v>45891</c:v>
                </c:pt>
                <c:pt idx="15">
                  <c:v>45894</c:v>
                </c:pt>
                <c:pt idx="16">
                  <c:v>45895</c:v>
                </c:pt>
                <c:pt idx="17">
                  <c:v>45896</c:v>
                </c:pt>
                <c:pt idx="18">
                  <c:v>45897</c:v>
                </c:pt>
                <c:pt idx="19">
                  <c:v>45898</c:v>
                </c:pt>
                <c:pt idx="20">
                  <c:v>45901</c:v>
                </c:pt>
                <c:pt idx="21">
                  <c:v>45902</c:v>
                </c:pt>
                <c:pt idx="22">
                  <c:v>45903</c:v>
                </c:pt>
                <c:pt idx="23">
                  <c:v>45904</c:v>
                </c:pt>
                <c:pt idx="24">
                  <c:v>45905</c:v>
                </c:pt>
                <c:pt idx="25">
                  <c:v>45908</c:v>
                </c:pt>
                <c:pt idx="26">
                  <c:v>45909</c:v>
                </c:pt>
                <c:pt idx="27">
                  <c:v>45910</c:v>
                </c:pt>
                <c:pt idx="28">
                  <c:v>45911</c:v>
                </c:pt>
                <c:pt idx="29">
                  <c:v>45912</c:v>
                </c:pt>
                <c:pt idx="30">
                  <c:v>45915</c:v>
                </c:pt>
                <c:pt idx="31">
                  <c:v>45916</c:v>
                </c:pt>
                <c:pt idx="32">
                  <c:v>45917</c:v>
                </c:pt>
                <c:pt idx="33">
                  <c:v>45918</c:v>
                </c:pt>
                <c:pt idx="34">
                  <c:v>45919</c:v>
                </c:pt>
                <c:pt idx="35">
                  <c:v>45922</c:v>
                </c:pt>
                <c:pt idx="36">
                  <c:v>45923</c:v>
                </c:pt>
                <c:pt idx="37">
                  <c:v>45924</c:v>
                </c:pt>
                <c:pt idx="38">
                  <c:v>45925</c:v>
                </c:pt>
                <c:pt idx="39">
                  <c:v>45926</c:v>
                </c:pt>
                <c:pt idx="40">
                  <c:v>45929</c:v>
                </c:pt>
                <c:pt idx="41">
                  <c:v>45930</c:v>
                </c:pt>
                <c:pt idx="42">
                  <c:v>45931</c:v>
                </c:pt>
                <c:pt idx="43">
                  <c:v>45932</c:v>
                </c:pt>
                <c:pt idx="44">
                  <c:v>45933</c:v>
                </c:pt>
                <c:pt idx="45">
                  <c:v>45936</c:v>
                </c:pt>
                <c:pt idx="46">
                  <c:v>45937</c:v>
                </c:pt>
                <c:pt idx="47">
                  <c:v>45938</c:v>
                </c:pt>
                <c:pt idx="48">
                  <c:v>45939</c:v>
                </c:pt>
                <c:pt idx="49">
                  <c:v>45940</c:v>
                </c:pt>
                <c:pt idx="50">
                  <c:v>45943</c:v>
                </c:pt>
                <c:pt idx="51">
                  <c:v>45944</c:v>
                </c:pt>
                <c:pt idx="52">
                  <c:v>45945</c:v>
                </c:pt>
                <c:pt idx="53">
                  <c:v>45946</c:v>
                </c:pt>
                <c:pt idx="54">
                  <c:v>45947</c:v>
                </c:pt>
                <c:pt idx="55">
                  <c:v>45950</c:v>
                </c:pt>
                <c:pt idx="56">
                  <c:v>45951</c:v>
                </c:pt>
                <c:pt idx="57">
                  <c:v>45952</c:v>
                </c:pt>
                <c:pt idx="58">
                  <c:v>45953</c:v>
                </c:pt>
                <c:pt idx="59">
                  <c:v>45954</c:v>
                </c:pt>
                <c:pt idx="60">
                  <c:v>45957</c:v>
                </c:pt>
                <c:pt idx="61">
                  <c:v>45958</c:v>
                </c:pt>
                <c:pt idx="62">
                  <c:v>45959</c:v>
                </c:pt>
                <c:pt idx="63">
                  <c:v>45960</c:v>
                </c:pt>
                <c:pt idx="64">
                  <c:v>45961</c:v>
                </c:pt>
                <c:pt idx="65">
                  <c:v>45964</c:v>
                </c:pt>
                <c:pt idx="66">
                  <c:v>45965</c:v>
                </c:pt>
                <c:pt idx="67">
                  <c:v>45966</c:v>
                </c:pt>
                <c:pt idx="68">
                  <c:v>45967</c:v>
                </c:pt>
                <c:pt idx="69">
                  <c:v>45968</c:v>
                </c:pt>
                <c:pt idx="70">
                  <c:v>45971</c:v>
                </c:pt>
                <c:pt idx="71">
                  <c:v>45972</c:v>
                </c:pt>
                <c:pt idx="72">
                  <c:v>45973</c:v>
                </c:pt>
                <c:pt idx="73">
                  <c:v>45974</c:v>
                </c:pt>
                <c:pt idx="74">
                  <c:v>45975</c:v>
                </c:pt>
                <c:pt idx="75">
                  <c:v>45978</c:v>
                </c:pt>
                <c:pt idx="76">
                  <c:v>45979</c:v>
                </c:pt>
                <c:pt idx="77">
                  <c:v>45980</c:v>
                </c:pt>
                <c:pt idx="78">
                  <c:v>45981</c:v>
                </c:pt>
                <c:pt idx="79">
                  <c:v>45982</c:v>
                </c:pt>
                <c:pt idx="80">
                  <c:v>45985</c:v>
                </c:pt>
                <c:pt idx="81">
                  <c:v>45986</c:v>
                </c:pt>
                <c:pt idx="82">
                  <c:v>45987</c:v>
                </c:pt>
                <c:pt idx="83">
                  <c:v>45988</c:v>
                </c:pt>
                <c:pt idx="84">
                  <c:v>45989</c:v>
                </c:pt>
                <c:pt idx="85">
                  <c:v>45992</c:v>
                </c:pt>
                <c:pt idx="86">
                  <c:v>45993</c:v>
                </c:pt>
                <c:pt idx="87">
                  <c:v>45994</c:v>
                </c:pt>
                <c:pt idx="88">
                  <c:v>45995</c:v>
                </c:pt>
                <c:pt idx="89">
                  <c:v>45996</c:v>
                </c:pt>
                <c:pt idx="90">
                  <c:v>45999</c:v>
                </c:pt>
                <c:pt idx="91">
                  <c:v>46000</c:v>
                </c:pt>
                <c:pt idx="92">
                  <c:v>46001</c:v>
                </c:pt>
                <c:pt idx="93">
                  <c:v>46002</c:v>
                </c:pt>
                <c:pt idx="94">
                  <c:v>46003</c:v>
                </c:pt>
                <c:pt idx="95">
                  <c:v>46006</c:v>
                </c:pt>
                <c:pt idx="96">
                  <c:v>46007</c:v>
                </c:pt>
                <c:pt idx="97">
                  <c:v>46008</c:v>
                </c:pt>
                <c:pt idx="98">
                  <c:v>46009</c:v>
                </c:pt>
                <c:pt idx="99">
                  <c:v>46010</c:v>
                </c:pt>
                <c:pt idx="100">
                  <c:v>46013</c:v>
                </c:pt>
                <c:pt idx="101">
                  <c:v>46014</c:v>
                </c:pt>
                <c:pt idx="102">
                  <c:v>46015</c:v>
                </c:pt>
                <c:pt idx="103">
                  <c:v>46016</c:v>
                </c:pt>
                <c:pt idx="104">
                  <c:v>46017</c:v>
                </c:pt>
                <c:pt idx="105">
                  <c:v>46020</c:v>
                </c:pt>
                <c:pt idx="106">
                  <c:v>46021</c:v>
                </c:pt>
                <c:pt idx="107">
                  <c:v>46022</c:v>
                </c:pt>
                <c:pt idx="108">
                  <c:v>46023</c:v>
                </c:pt>
                <c:pt idx="109">
                  <c:v>46024</c:v>
                </c:pt>
                <c:pt idx="110">
                  <c:v>46027</c:v>
                </c:pt>
                <c:pt idx="111">
                  <c:v>46028</c:v>
                </c:pt>
                <c:pt idx="112">
                  <c:v>46029</c:v>
                </c:pt>
                <c:pt idx="113">
                  <c:v>46030</c:v>
                </c:pt>
                <c:pt idx="114">
                  <c:v>46031</c:v>
                </c:pt>
                <c:pt idx="115">
                  <c:v>46034</c:v>
                </c:pt>
                <c:pt idx="116">
                  <c:v>46035</c:v>
                </c:pt>
                <c:pt idx="117">
                  <c:v>46036</c:v>
                </c:pt>
                <c:pt idx="118">
                  <c:v>46037</c:v>
                </c:pt>
                <c:pt idx="119">
                  <c:v>46038</c:v>
                </c:pt>
                <c:pt idx="120">
                  <c:v>46041</c:v>
                </c:pt>
                <c:pt idx="121">
                  <c:v>46042</c:v>
                </c:pt>
                <c:pt idx="122">
                  <c:v>46043</c:v>
                </c:pt>
                <c:pt idx="123">
                  <c:v>46044</c:v>
                </c:pt>
                <c:pt idx="124">
                  <c:v>46045</c:v>
                </c:pt>
                <c:pt idx="125">
                  <c:v>46048</c:v>
                </c:pt>
                <c:pt idx="126">
                  <c:v>46049</c:v>
                </c:pt>
                <c:pt idx="127">
                  <c:v>46050</c:v>
                </c:pt>
                <c:pt idx="128">
                  <c:v>46051</c:v>
                </c:pt>
                <c:pt idx="129">
                  <c:v>46052</c:v>
                </c:pt>
                <c:pt idx="130">
                  <c:v>46055</c:v>
                </c:pt>
                <c:pt idx="131">
                  <c:v>46056</c:v>
                </c:pt>
                <c:pt idx="132">
                  <c:v>46057</c:v>
                </c:pt>
                <c:pt idx="133">
                  <c:v>46058</c:v>
                </c:pt>
                <c:pt idx="134">
                  <c:v>46059</c:v>
                </c:pt>
                <c:pt idx="135">
                  <c:v>46062</c:v>
                </c:pt>
                <c:pt idx="136">
                  <c:v>46063</c:v>
                </c:pt>
                <c:pt idx="137">
                  <c:v>46064</c:v>
                </c:pt>
                <c:pt idx="138">
                  <c:v>46065</c:v>
                </c:pt>
                <c:pt idx="139">
                  <c:v>46066</c:v>
                </c:pt>
                <c:pt idx="140">
                  <c:v>46069</c:v>
                </c:pt>
                <c:pt idx="141">
                  <c:v>46070</c:v>
                </c:pt>
                <c:pt idx="142">
                  <c:v>46071</c:v>
                </c:pt>
                <c:pt idx="143">
                  <c:v>46072</c:v>
                </c:pt>
                <c:pt idx="144">
                  <c:v>46073</c:v>
                </c:pt>
                <c:pt idx="145">
                  <c:v>46076</c:v>
                </c:pt>
                <c:pt idx="146">
                  <c:v>46077</c:v>
                </c:pt>
                <c:pt idx="147">
                  <c:v>46078</c:v>
                </c:pt>
                <c:pt idx="148">
                  <c:v>46079</c:v>
                </c:pt>
                <c:pt idx="149">
                  <c:v>46080</c:v>
                </c:pt>
                <c:pt idx="150">
                  <c:v>46083</c:v>
                </c:pt>
                <c:pt idx="151">
                  <c:v>46084</c:v>
                </c:pt>
                <c:pt idx="152">
                  <c:v>46085</c:v>
                </c:pt>
                <c:pt idx="153">
                  <c:v>46086</c:v>
                </c:pt>
                <c:pt idx="154">
                  <c:v>46087</c:v>
                </c:pt>
                <c:pt idx="155">
                  <c:v>46090</c:v>
                </c:pt>
                <c:pt idx="156">
                  <c:v>46091</c:v>
                </c:pt>
                <c:pt idx="157">
                  <c:v>46092</c:v>
                </c:pt>
                <c:pt idx="158">
                  <c:v>46093</c:v>
                </c:pt>
                <c:pt idx="159">
                  <c:v>46094</c:v>
                </c:pt>
                <c:pt idx="160">
                  <c:v>46097</c:v>
                </c:pt>
                <c:pt idx="161">
                  <c:v>46098</c:v>
                </c:pt>
                <c:pt idx="162">
                  <c:v>46099</c:v>
                </c:pt>
                <c:pt idx="163">
                  <c:v>46100</c:v>
                </c:pt>
                <c:pt idx="164">
                  <c:v>46101</c:v>
                </c:pt>
                <c:pt idx="165">
                  <c:v>46104</c:v>
                </c:pt>
                <c:pt idx="166">
                  <c:v>46105</c:v>
                </c:pt>
                <c:pt idx="167">
                  <c:v>46106</c:v>
                </c:pt>
                <c:pt idx="168">
                  <c:v>46107</c:v>
                </c:pt>
                <c:pt idx="169">
                  <c:v>46108</c:v>
                </c:pt>
                <c:pt idx="170">
                  <c:v>46111</c:v>
                </c:pt>
                <c:pt idx="171">
                  <c:v>46112</c:v>
                </c:pt>
                <c:pt idx="172">
                  <c:v>46113</c:v>
                </c:pt>
                <c:pt idx="173">
                  <c:v>46114</c:v>
                </c:pt>
                <c:pt idx="174">
                  <c:v>46115</c:v>
                </c:pt>
                <c:pt idx="175">
                  <c:v>46118</c:v>
                </c:pt>
                <c:pt idx="176">
                  <c:v>46119</c:v>
                </c:pt>
                <c:pt idx="177">
                  <c:v>46120</c:v>
                </c:pt>
                <c:pt idx="178">
                  <c:v>46121</c:v>
                </c:pt>
                <c:pt idx="179">
                  <c:v>46122</c:v>
                </c:pt>
                <c:pt idx="180">
                  <c:v>46125</c:v>
                </c:pt>
                <c:pt idx="181">
                  <c:v>46126</c:v>
                </c:pt>
                <c:pt idx="182">
                  <c:v>46127</c:v>
                </c:pt>
                <c:pt idx="183">
                  <c:v>46128</c:v>
                </c:pt>
                <c:pt idx="184">
                  <c:v>46129</c:v>
                </c:pt>
                <c:pt idx="185">
                  <c:v>46132</c:v>
                </c:pt>
                <c:pt idx="186">
                  <c:v>46133</c:v>
                </c:pt>
                <c:pt idx="187">
                  <c:v>46134</c:v>
                </c:pt>
                <c:pt idx="188">
                  <c:v>46135</c:v>
                </c:pt>
                <c:pt idx="189">
                  <c:v>46136</c:v>
                </c:pt>
                <c:pt idx="190">
                  <c:v>46139</c:v>
                </c:pt>
                <c:pt idx="191">
                  <c:v>46140</c:v>
                </c:pt>
                <c:pt idx="192">
                  <c:v>46141</c:v>
                </c:pt>
                <c:pt idx="193">
                  <c:v>46142</c:v>
                </c:pt>
                <c:pt idx="194">
                  <c:v>46143</c:v>
                </c:pt>
                <c:pt idx="195">
                  <c:v>46146</c:v>
                </c:pt>
                <c:pt idx="196">
                  <c:v>46147</c:v>
                </c:pt>
                <c:pt idx="197">
                  <c:v>46148</c:v>
                </c:pt>
                <c:pt idx="198">
                  <c:v>46149</c:v>
                </c:pt>
                <c:pt idx="199">
                  <c:v>46150</c:v>
                </c:pt>
                <c:pt idx="200">
                  <c:v>46153</c:v>
                </c:pt>
                <c:pt idx="201">
                  <c:v>46154</c:v>
                </c:pt>
                <c:pt idx="202">
                  <c:v>46155</c:v>
                </c:pt>
                <c:pt idx="203">
                  <c:v>46156</c:v>
                </c:pt>
                <c:pt idx="204">
                  <c:v>46157</c:v>
                </c:pt>
                <c:pt idx="205">
                  <c:v>46160</c:v>
                </c:pt>
                <c:pt idx="206">
                  <c:v>46161</c:v>
                </c:pt>
                <c:pt idx="207">
                  <c:v>46162</c:v>
                </c:pt>
                <c:pt idx="208">
                  <c:v>46163</c:v>
                </c:pt>
                <c:pt idx="209">
                  <c:v>46164</c:v>
                </c:pt>
                <c:pt idx="210">
                  <c:v>46167</c:v>
                </c:pt>
                <c:pt idx="211">
                  <c:v>46168</c:v>
                </c:pt>
                <c:pt idx="212">
                  <c:v>46169</c:v>
                </c:pt>
                <c:pt idx="213">
                  <c:v>46170</c:v>
                </c:pt>
                <c:pt idx="214">
                  <c:v>46171</c:v>
                </c:pt>
                <c:pt idx="215">
                  <c:v>46174</c:v>
                </c:pt>
                <c:pt idx="216">
                  <c:v>46175</c:v>
                </c:pt>
                <c:pt idx="217">
                  <c:v>46176</c:v>
                </c:pt>
                <c:pt idx="218">
                  <c:v>46177</c:v>
                </c:pt>
                <c:pt idx="219">
                  <c:v>46178</c:v>
                </c:pt>
                <c:pt idx="220">
                  <c:v>46181</c:v>
                </c:pt>
                <c:pt idx="221">
                  <c:v>46182</c:v>
                </c:pt>
                <c:pt idx="222">
                  <c:v>46183</c:v>
                </c:pt>
                <c:pt idx="223">
                  <c:v>46184</c:v>
                </c:pt>
                <c:pt idx="224">
                  <c:v>46185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46195</c:v>
                </c:pt>
                <c:pt idx="231">
                  <c:v>46196</c:v>
                </c:pt>
                <c:pt idx="232">
                  <c:v>46197</c:v>
                </c:pt>
                <c:pt idx="233">
                  <c:v>46198</c:v>
                </c:pt>
                <c:pt idx="234">
                  <c:v>46199</c:v>
                </c:pt>
                <c:pt idx="235">
                  <c:v>46202</c:v>
                </c:pt>
                <c:pt idx="236">
                  <c:v>46203</c:v>
                </c:pt>
                <c:pt idx="237">
                  <c:v>46204</c:v>
                </c:pt>
                <c:pt idx="238">
                  <c:v>46205</c:v>
                </c:pt>
                <c:pt idx="239">
                  <c:v>46206</c:v>
                </c:pt>
                <c:pt idx="240">
                  <c:v>46209</c:v>
                </c:pt>
                <c:pt idx="241">
                  <c:v>46210</c:v>
                </c:pt>
                <c:pt idx="242">
                  <c:v>46211</c:v>
                </c:pt>
                <c:pt idx="243">
                  <c:v>46212</c:v>
                </c:pt>
                <c:pt idx="244">
                  <c:v>46213</c:v>
                </c:pt>
                <c:pt idx="245">
                  <c:v>46216</c:v>
                </c:pt>
                <c:pt idx="246">
                  <c:v>46217</c:v>
                </c:pt>
                <c:pt idx="247">
                  <c:v>46218</c:v>
                </c:pt>
                <c:pt idx="248">
                  <c:v>46219</c:v>
                </c:pt>
                <c:pt idx="249">
                  <c:v>46220</c:v>
                </c:pt>
                <c:pt idx="250">
                  <c:v>46223</c:v>
                </c:pt>
                <c:pt idx="251">
                  <c:v>46224</c:v>
                </c:pt>
                <c:pt idx="252">
                  <c:v>46225</c:v>
                </c:pt>
                <c:pt idx="253">
                  <c:v>46226</c:v>
                </c:pt>
                <c:pt idx="254">
                  <c:v>46227</c:v>
                </c:pt>
                <c:pt idx="255">
                  <c:v>46230</c:v>
                </c:pt>
                <c:pt idx="256">
                  <c:v>46231</c:v>
                </c:pt>
                <c:pt idx="257">
                  <c:v>46232</c:v>
                </c:pt>
                <c:pt idx="258">
                  <c:v>46233</c:v>
                </c:pt>
              </c:numCache>
            </c:numRef>
          </c:cat>
          <c:val>
            <c:numRef>
              <c:f>Historique!$C$4:$C$262</c:f>
              <c:numCache>
                <c:formatCode>General</c:formatCode>
                <c:ptCount val="259"/>
                <c:pt idx="0">
                  <c:v>100.9191991334684</c:v>
                </c:pt>
                <c:pt idx="1">
                  <c:v>99.78102123036075</c:v>
                </c:pt>
                <c:pt idx="2">
                  <c:v>98.84051644901028</c:v>
                </c:pt>
                <c:pt idx="3">
                  <c:v>97.35280434238584</c:v>
                </c:pt>
                <c:pt idx="4">
                  <c:v>97.23319212745571</c:v>
                </c:pt>
                <c:pt idx="5">
                  <c:v>99.79509282237437</c:v>
                </c:pt>
                <c:pt idx="6">
                  <c:v>100.6759551175938</c:v>
                </c:pt>
                <c:pt idx="7">
                  <c:v>99.70453509941845</c:v>
                </c:pt>
                <c:pt idx="8">
                  <c:v>98.90117592002531</c:v>
                </c:pt>
                <c:pt idx="9">
                  <c:v>98.09026461630185</c:v>
                </c:pt>
                <c:pt idx="10">
                  <c:v>97.28852346075983</c:v>
                </c:pt>
                <c:pt idx="11">
                  <c:v>95.46211461455312</c:v>
                </c:pt>
                <c:pt idx="12">
                  <c:v>95.68944385928768</c:v>
                </c:pt>
                <c:pt idx="13">
                  <c:v>96.12354769181434</c:v>
                </c:pt>
                <c:pt idx="14">
                  <c:v>95.67848956250181</c:v>
                </c:pt>
                <c:pt idx="15">
                  <c:v>95.36128374845042</c:v>
                </c:pt>
                <c:pt idx="16">
                  <c:v>96.12789299250315</c:v>
                </c:pt>
                <c:pt idx="17">
                  <c:v>97.14718365087165</c:v>
                </c:pt>
                <c:pt idx="18">
                  <c:v>98.32968546002813</c:v>
                </c:pt>
                <c:pt idx="19">
                  <c:v>96.92755592863612</c:v>
                </c:pt>
                <c:pt idx="20">
                  <c:v>96.70079238545178</c:v>
                </c:pt>
                <c:pt idx="21">
                  <c:v>96.0706730783712</c:v>
                </c:pt>
                <c:pt idx="22">
                  <c:v>96.0499716061005</c:v>
                </c:pt>
                <c:pt idx="23">
                  <c:v>96.8999634260649</c:v>
                </c:pt>
                <c:pt idx="24">
                  <c:v>97.02412827616418</c:v>
                </c:pt>
                <c:pt idx="25">
                  <c:v>98.96713893651156</c:v>
                </c:pt>
                <c:pt idx="26">
                  <c:v>100.2946456476302</c:v>
                </c:pt>
                <c:pt idx="27">
                  <c:v>98.77665717449476</c:v>
                </c:pt>
                <c:pt idx="28">
                  <c:v>99.34846973186147</c:v>
                </c:pt>
                <c:pt idx="29">
                  <c:v>99.11387188911274</c:v>
                </c:pt>
                <c:pt idx="30">
                  <c:v>98.89011649871586</c:v>
                </c:pt>
                <c:pt idx="31">
                  <c:v>96.96338150663493</c:v>
                </c:pt>
                <c:pt idx="32">
                  <c:v>95.76475081605547</c:v>
                </c:pt>
                <c:pt idx="33">
                  <c:v>97.80954600449149</c:v>
                </c:pt>
                <c:pt idx="34">
                  <c:v>98.31349594048379</c:v>
                </c:pt>
                <c:pt idx="35">
                  <c:v>98.82793096602268</c:v>
                </c:pt>
                <c:pt idx="36">
                  <c:v>99.07619877447749</c:v>
                </c:pt>
                <c:pt idx="37">
                  <c:v>99.01851124130121</c:v>
                </c:pt>
                <c:pt idx="38">
                  <c:v>97.88327582336102</c:v>
                </c:pt>
                <c:pt idx="39">
                  <c:v>98.67085214049693</c:v>
                </c:pt>
                <c:pt idx="40">
                  <c:v>98.47799904967587</c:v>
                </c:pt>
                <c:pt idx="41">
                  <c:v>99.08378143208463</c:v>
                </c:pt>
                <c:pt idx="42">
                  <c:v>98.89875269901982</c:v>
                </c:pt>
                <c:pt idx="43">
                  <c:v>99.68563929563886</c:v>
                </c:pt>
                <c:pt idx="44">
                  <c:v>100.7836030295772</c:v>
                </c:pt>
                <c:pt idx="45">
                  <c:v>99.80016981006953</c:v>
                </c:pt>
                <c:pt idx="46">
                  <c:v>99.59579927157264</c:v>
                </c:pt>
                <c:pt idx="47">
                  <c:v>100.6312707487205</c:v>
                </c:pt>
                <c:pt idx="48">
                  <c:v>100.412282895879</c:v>
                </c:pt>
                <c:pt idx="49">
                  <c:v>100.6900880683657</c:v>
                </c:pt>
                <c:pt idx="50">
                  <c:v>99.78120596410108</c:v>
                </c:pt>
                <c:pt idx="51">
                  <c:v>99.39876747863944</c:v>
                </c:pt>
                <c:pt idx="52">
                  <c:v>100.6044533297201</c:v>
                </c:pt>
                <c:pt idx="53">
                  <c:v>101.7198793046288</c:v>
                </c:pt>
                <c:pt idx="54">
                  <c:v>101.6120644108701</c:v>
                </c:pt>
                <c:pt idx="55">
                  <c:v>101.5038823381277</c:v>
                </c:pt>
                <c:pt idx="56">
                  <c:v>99.3148920613628</c:v>
                </c:pt>
                <c:pt idx="57">
                  <c:v>98.42726925510404</c:v>
                </c:pt>
                <c:pt idx="58">
                  <c:v>97.74025342684692</c:v>
                </c:pt>
                <c:pt idx="59">
                  <c:v>98.73676476610352</c:v>
                </c:pt>
                <c:pt idx="60">
                  <c:v>99.85678490918947</c:v>
                </c:pt>
                <c:pt idx="61">
                  <c:v>100.4098516845303</c:v>
                </c:pt>
                <c:pt idx="62">
                  <c:v>99.59274023438549</c:v>
                </c:pt>
                <c:pt idx="63">
                  <c:v>100.880031038827</c:v>
                </c:pt>
                <c:pt idx="64">
                  <c:v>99.36068531334925</c:v>
                </c:pt>
                <c:pt idx="65">
                  <c:v>98.92132745889785</c:v>
                </c:pt>
                <c:pt idx="66">
                  <c:v>99.08973931045712</c:v>
                </c:pt>
                <c:pt idx="67">
                  <c:v>99.77974478142433</c:v>
                </c:pt>
                <c:pt idx="68">
                  <c:v>102.8421084383796</c:v>
                </c:pt>
                <c:pt idx="69">
                  <c:v>102.8740150658804</c:v>
                </c:pt>
                <c:pt idx="70">
                  <c:v>104.0207635772835</c:v>
                </c:pt>
                <c:pt idx="71">
                  <c:v>104.8370506795061</c:v>
                </c:pt>
                <c:pt idx="72">
                  <c:v>106.8706086651887</c:v>
                </c:pt>
                <c:pt idx="73">
                  <c:v>106.5605461143698</c:v>
                </c:pt>
                <c:pt idx="74">
                  <c:v>106.4412933154614</c:v>
                </c:pt>
                <c:pt idx="75">
                  <c:v>104.8958774728634</c:v>
                </c:pt>
                <c:pt idx="76">
                  <c:v>103.0741094682793</c:v>
                </c:pt>
                <c:pt idx="77">
                  <c:v>101.9444566622462</c:v>
                </c:pt>
                <c:pt idx="78">
                  <c:v>101.0028122186136</c:v>
                </c:pt>
                <c:pt idx="79">
                  <c:v>100.6733653146661</c:v>
                </c:pt>
                <c:pt idx="80">
                  <c:v>99.53712050505753</c:v>
                </c:pt>
                <c:pt idx="81">
                  <c:v>101.0760860715428</c:v>
                </c:pt>
                <c:pt idx="82">
                  <c:v>101.0671191514166</c:v>
                </c:pt>
                <c:pt idx="83">
                  <c:v>101.030937510906</c:v>
                </c:pt>
                <c:pt idx="84">
                  <c:v>101.8723784932112</c:v>
                </c:pt>
                <c:pt idx="85">
                  <c:v>101.891174455655</c:v>
                </c:pt>
                <c:pt idx="86">
                  <c:v>101.9469091756391</c:v>
                </c:pt>
                <c:pt idx="87">
                  <c:v>101.676204679695</c:v>
                </c:pt>
                <c:pt idx="88">
                  <c:v>102.765275246875</c:v>
                </c:pt>
                <c:pt idx="89">
                  <c:v>102.6761488205827</c:v>
                </c:pt>
                <c:pt idx="90">
                  <c:v>101.8413675362702</c:v>
                </c:pt>
                <c:pt idx="91">
                  <c:v>101.2819457537432</c:v>
                </c:pt>
                <c:pt idx="92">
                  <c:v>101.1944166397223</c:v>
                </c:pt>
                <c:pt idx="93">
                  <c:v>101.7180773424065</c:v>
                </c:pt>
                <c:pt idx="94">
                  <c:v>100.7232154433339</c:v>
                </c:pt>
                <c:pt idx="95">
                  <c:v>99.41104031849974</c:v>
                </c:pt>
                <c:pt idx="96">
                  <c:v>101.2770871064148</c:v>
                </c:pt>
                <c:pt idx="97">
                  <c:v>101.172868585713</c:v>
                </c:pt>
                <c:pt idx="98">
                  <c:v>102.6576615461648</c:v>
                </c:pt>
                <c:pt idx="99">
                  <c:v>101.9990033128186</c:v>
                </c:pt>
                <c:pt idx="100">
                  <c:v>102.0995566946367</c:v>
                </c:pt>
                <c:pt idx="101">
                  <c:v>101.6582674963291</c:v>
                </c:pt>
                <c:pt idx="102">
                  <c:v>102.6910085827101</c:v>
                </c:pt>
                <c:pt idx="103">
                  <c:v>102.2110794178931</c:v>
                </c:pt>
                <c:pt idx="104">
                  <c:v>102.0314848832332</c:v>
                </c:pt>
                <c:pt idx="105">
                  <c:v>101.251165937049</c:v>
                </c:pt>
                <c:pt idx="106">
                  <c:v>100.9966574517575</c:v>
                </c:pt>
                <c:pt idx="107">
                  <c:v>101.1456459898182</c:v>
                </c:pt>
                <c:pt idx="108">
                  <c:v>101.7302644262122</c:v>
                </c:pt>
                <c:pt idx="109">
                  <c:v>101.6767079267434</c:v>
                </c:pt>
                <c:pt idx="110">
                  <c:v>101.5623739164676</c:v>
                </c:pt>
                <c:pt idx="111">
                  <c:v>102.4421534387513</c:v>
                </c:pt>
                <c:pt idx="112">
                  <c:v>102.1915373172022</c:v>
                </c:pt>
                <c:pt idx="113">
                  <c:v>103.1304053130377</c:v>
                </c:pt>
                <c:pt idx="114">
                  <c:v>104.7697468232917</c:v>
                </c:pt>
                <c:pt idx="115">
                  <c:v>104.4342368109184</c:v>
                </c:pt>
                <c:pt idx="116">
                  <c:v>105.1069790541279</c:v>
                </c:pt>
                <c:pt idx="117">
                  <c:v>106.0519907487672</c:v>
                </c:pt>
                <c:pt idx="118">
                  <c:v>104.6886531331202</c:v>
                </c:pt>
                <c:pt idx="119">
                  <c:v>105.4584765724356</c:v>
                </c:pt>
                <c:pt idx="120">
                  <c:v>106.8555431853625</c:v>
                </c:pt>
                <c:pt idx="121">
                  <c:v>108.2780880637964</c:v>
                </c:pt>
                <c:pt idx="122">
                  <c:v>108.4575815269646</c:v>
                </c:pt>
                <c:pt idx="123">
                  <c:v>109.2263680957506</c:v>
                </c:pt>
                <c:pt idx="124">
                  <c:v>109.8151434749523</c:v>
                </c:pt>
                <c:pt idx="125">
                  <c:v>108.2778677394161</c:v>
                </c:pt>
                <c:pt idx="126">
                  <c:v>108.53891506043</c:v>
                </c:pt>
                <c:pt idx="127">
                  <c:v>109.3334215305715</c:v>
                </c:pt>
                <c:pt idx="128">
                  <c:v>107.6340387105357</c:v>
                </c:pt>
                <c:pt idx="129">
                  <c:v>109.3748065880458</c:v>
                </c:pt>
                <c:pt idx="130">
                  <c:v>110.4702394701428</c:v>
                </c:pt>
                <c:pt idx="131">
                  <c:v>109.4079014419291</c:v>
                </c:pt>
                <c:pt idx="132">
                  <c:v>109.8573622312712</c:v>
                </c:pt>
                <c:pt idx="133">
                  <c:v>108.352309068948</c:v>
                </c:pt>
                <c:pt idx="134">
                  <c:v>109.8518103460658</c:v>
                </c:pt>
                <c:pt idx="135">
                  <c:v>110.3715363331285</c:v>
                </c:pt>
                <c:pt idx="136">
                  <c:v>110.3657706511377</c:v>
                </c:pt>
                <c:pt idx="137">
                  <c:v>109.0641172793446</c:v>
                </c:pt>
                <c:pt idx="138">
                  <c:v>110.0636511010414</c:v>
                </c:pt>
                <c:pt idx="139">
                  <c:v>109.64659619643</c:v>
                </c:pt>
                <c:pt idx="140">
                  <c:v>108.8008242157271</c:v>
                </c:pt>
                <c:pt idx="141">
                  <c:v>108.8384423408962</c:v>
                </c:pt>
                <c:pt idx="142">
                  <c:v>109.1901897413266</c:v>
                </c:pt>
                <c:pt idx="143">
                  <c:v>108.6077094710459</c:v>
                </c:pt>
                <c:pt idx="144">
                  <c:v>109.2153338943431</c:v>
                </c:pt>
                <c:pt idx="145">
                  <c:v>110.8789330596419</c:v>
                </c:pt>
                <c:pt idx="146">
                  <c:v>110.8402827372744</c:v>
                </c:pt>
                <c:pt idx="147">
                  <c:v>110.7407835701691</c:v>
                </c:pt>
                <c:pt idx="148">
                  <c:v>109.1635496560825</c:v>
                </c:pt>
                <c:pt idx="149">
                  <c:v>109.5494958008681</c:v>
                </c:pt>
                <c:pt idx="150">
                  <c:v>110.6365339664119</c:v>
                </c:pt>
                <c:pt idx="151">
                  <c:v>108.4757026263557</c:v>
                </c:pt>
                <c:pt idx="152">
                  <c:v>109.5822089276182</c:v>
                </c:pt>
                <c:pt idx="153">
                  <c:v>109.9652082908503</c:v>
                </c:pt>
                <c:pt idx="154">
                  <c:v>110.9467779918751</c:v>
                </c:pt>
                <c:pt idx="155">
                  <c:v>110.1153607972654</c:v>
                </c:pt>
                <c:pt idx="156">
                  <c:v>110.3496216545202</c:v>
                </c:pt>
                <c:pt idx="157">
                  <c:v>110.3245499876168</c:v>
                </c:pt>
                <c:pt idx="158">
                  <c:v>110.6659993951674</c:v>
                </c:pt>
                <c:pt idx="159">
                  <c:v>109.2116548888555</c:v>
                </c:pt>
                <c:pt idx="160">
                  <c:v>109.7807626825399</c:v>
                </c:pt>
                <c:pt idx="161">
                  <c:v>109.9204846428439</c:v>
                </c:pt>
                <c:pt idx="162">
                  <c:v>108.462019754767</c:v>
                </c:pt>
                <c:pt idx="163">
                  <c:v>108.6491573449914</c:v>
                </c:pt>
                <c:pt idx="164">
                  <c:v>107.4638771897269</c:v>
                </c:pt>
                <c:pt idx="165">
                  <c:v>108.1343676171843</c:v>
                </c:pt>
                <c:pt idx="166">
                  <c:v>109.1660723310354</c:v>
                </c:pt>
                <c:pt idx="167">
                  <c:v>110.0741680753868</c:v>
                </c:pt>
                <c:pt idx="168">
                  <c:v>109.3556669046078</c:v>
                </c:pt>
                <c:pt idx="169">
                  <c:v>108.7792388278172</c:v>
                </c:pt>
                <c:pt idx="170">
                  <c:v>108.5306916090161</c:v>
                </c:pt>
                <c:pt idx="171">
                  <c:v>108.6729610758071</c:v>
                </c:pt>
                <c:pt idx="172">
                  <c:v>110.0921172476402</c:v>
                </c:pt>
                <c:pt idx="173">
                  <c:v>108.881807535654</c:v>
                </c:pt>
                <c:pt idx="174">
                  <c:v>107.0016909505716</c:v>
                </c:pt>
                <c:pt idx="175">
                  <c:v>107.40791167661</c:v>
                </c:pt>
                <c:pt idx="176">
                  <c:v>104.8051173796049</c:v>
                </c:pt>
                <c:pt idx="177">
                  <c:v>105.7218372388107</c:v>
                </c:pt>
                <c:pt idx="178">
                  <c:v>105.7655690696635</c:v>
                </c:pt>
                <c:pt idx="179">
                  <c:v>106.7201282850741</c:v>
                </c:pt>
                <c:pt idx="180">
                  <c:v>108.0053240839657</c:v>
                </c:pt>
                <c:pt idx="181">
                  <c:v>108.8695069714192</c:v>
                </c:pt>
                <c:pt idx="182">
                  <c:v>109.1399590148943</c:v>
                </c:pt>
                <c:pt idx="183">
                  <c:v>109.975705527869</c:v>
                </c:pt>
                <c:pt idx="184">
                  <c:v>110.6909640196107</c:v>
                </c:pt>
                <c:pt idx="185">
                  <c:v>111.1678992572733</c:v>
                </c:pt>
                <c:pt idx="186">
                  <c:v>111.6552263436562</c:v>
                </c:pt>
                <c:pt idx="187">
                  <c:v>110.0370324012447</c:v>
                </c:pt>
                <c:pt idx="188">
                  <c:v>110.5894546811598</c:v>
                </c:pt>
                <c:pt idx="189">
                  <c:v>109.9447728075655</c:v>
                </c:pt>
                <c:pt idx="190">
                  <c:v>109.2698232184399</c:v>
                </c:pt>
                <c:pt idx="191">
                  <c:v>108.9076896632806</c:v>
                </c:pt>
                <c:pt idx="192">
                  <c:v>109.7811984745708</c:v>
                </c:pt>
                <c:pt idx="193">
                  <c:v>108.7077081685621</c:v>
                </c:pt>
                <c:pt idx="194">
                  <c:v>107.5158334277536</c:v>
                </c:pt>
                <c:pt idx="195">
                  <c:v>109.259462973739</c:v>
                </c:pt>
                <c:pt idx="196">
                  <c:v>110.0620176157689</c:v>
                </c:pt>
                <c:pt idx="197">
                  <c:v>109.3977032976544</c:v>
                </c:pt>
                <c:pt idx="198">
                  <c:v>108.3306620014908</c:v>
                </c:pt>
                <c:pt idx="199">
                  <c:v>108.7527321210484</c:v>
                </c:pt>
                <c:pt idx="200">
                  <c:v>109.5368847954523</c:v>
                </c:pt>
                <c:pt idx="201">
                  <c:v>109.0763434218721</c:v>
                </c:pt>
                <c:pt idx="202">
                  <c:v>110.1037251662074</c:v>
                </c:pt>
                <c:pt idx="203">
                  <c:v>108.7244792310046</c:v>
                </c:pt>
                <c:pt idx="204">
                  <c:v>108.3738383370407</c:v>
                </c:pt>
                <c:pt idx="205">
                  <c:v>109.7593185368142</c:v>
                </c:pt>
                <c:pt idx="206">
                  <c:v>109.8785129892546</c:v>
                </c:pt>
                <c:pt idx="207">
                  <c:v>109.2413909401301</c:v>
                </c:pt>
                <c:pt idx="208">
                  <c:v>108.8289640668529</c:v>
                </c:pt>
                <c:pt idx="209">
                  <c:v>108.611366323458</c:v>
                </c:pt>
                <c:pt idx="210">
                  <c:v>109.3150707805048</c:v>
                </c:pt>
                <c:pt idx="211">
                  <c:v>111.4809041313108</c:v>
                </c:pt>
                <c:pt idx="212">
                  <c:v>112.485382335033</c:v>
                </c:pt>
                <c:pt idx="213">
                  <c:v>110.7466739654154</c:v>
                </c:pt>
                <c:pt idx="214">
                  <c:v>110.1416475891499</c:v>
                </c:pt>
                <c:pt idx="215">
                  <c:v>110.5983229172729</c:v>
                </c:pt>
                <c:pt idx="216">
                  <c:v>110.661712809176</c:v>
                </c:pt>
                <c:pt idx="217">
                  <c:v>110.853080738445</c:v>
                </c:pt>
                <c:pt idx="218">
                  <c:v>111.5302064381895</c:v>
                </c:pt>
                <c:pt idx="219">
                  <c:v>111.7383439596421</c:v>
                </c:pt>
                <c:pt idx="220">
                  <c:v>109.866527763219</c:v>
                </c:pt>
                <c:pt idx="221">
                  <c:v>109.065332639724</c:v>
                </c:pt>
                <c:pt idx="222">
                  <c:v>110.4191760497365</c:v>
                </c:pt>
                <c:pt idx="223">
                  <c:v>110.3121770856595</c:v>
                </c:pt>
                <c:pt idx="224">
                  <c:v>110.1485905157627</c:v>
                </c:pt>
                <c:pt idx="225">
                  <c:v>112.3976377180882</c:v>
                </c:pt>
                <c:pt idx="226">
                  <c:v>111.3532643736148</c:v>
                </c:pt>
                <c:pt idx="227">
                  <c:v>111.7563455165973</c:v>
                </c:pt>
                <c:pt idx="228">
                  <c:v>113.5322708310589</c:v>
                </c:pt>
                <c:pt idx="229">
                  <c:v>112.9448869888665</c:v>
                </c:pt>
                <c:pt idx="230">
                  <c:v>112.1376915423468</c:v>
                </c:pt>
                <c:pt idx="231">
                  <c:v>113.2865025065107</c:v>
                </c:pt>
                <c:pt idx="232">
                  <c:v>113.0057068656319</c:v>
                </c:pt>
                <c:pt idx="233">
                  <c:v>112.7468363347011</c:v>
                </c:pt>
                <c:pt idx="234">
                  <c:v>113.3127894255622</c:v>
                </c:pt>
                <c:pt idx="235">
                  <c:v>112.4349715683887</c:v>
                </c:pt>
                <c:pt idx="236">
                  <c:v>113.318701777556</c:v>
                </c:pt>
                <c:pt idx="237">
                  <c:v>114.6871550502403</c:v>
                </c:pt>
                <c:pt idx="238">
                  <c:v>112.0955716457459</c:v>
                </c:pt>
                <c:pt idx="239">
                  <c:v>111.7489286219405</c:v>
                </c:pt>
                <c:pt idx="240">
                  <c:v>111.9511291588167</c:v>
                </c:pt>
                <c:pt idx="241">
                  <c:v>112.0475508724886</c:v>
                </c:pt>
                <c:pt idx="242">
                  <c:v>112.1181509303971</c:v>
                </c:pt>
                <c:pt idx="243">
                  <c:v>110.7766872104507</c:v>
                </c:pt>
                <c:pt idx="244">
                  <c:v>111.5517380952488</c:v>
                </c:pt>
                <c:pt idx="245">
                  <c:v>110.5632776297252</c:v>
                </c:pt>
                <c:pt idx="246">
                  <c:v>111.7065359902181</c:v>
                </c:pt>
                <c:pt idx="247">
                  <c:v>112.8500869997174</c:v>
                </c:pt>
                <c:pt idx="248">
                  <c:v>113.840935434879</c:v>
                </c:pt>
                <c:pt idx="249">
                  <c:v>111.7155530229091</c:v>
                </c:pt>
                <c:pt idx="250">
                  <c:v>111.9358541807533</c:v>
                </c:pt>
                <c:pt idx="251">
                  <c:v>110.6463060451357</c:v>
                </c:pt>
                <c:pt idx="252">
                  <c:v>108.7726889573288</c:v>
                </c:pt>
                <c:pt idx="253">
                  <c:v>106.8033214143595</c:v>
                </c:pt>
                <c:pt idx="254">
                  <c:v>107.4266675457741</c:v>
                </c:pt>
                <c:pt idx="255">
                  <c:v>108.2570607424191</c:v>
                </c:pt>
                <c:pt idx="256">
                  <c:v>106.9221953943854</c:v>
                </c:pt>
                <c:pt idx="257">
                  <c:v>106.5347041652333</c:v>
                </c:pt>
                <c:pt idx="258">
                  <c:v>106.7515462702919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VL (base 100)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Contribution au risque par secteur (exposition brute)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Exposition brute par secteur</c:v>
          </c:tx>
          <c:cat>
            <c:strRef>
              <c:f>Graphiques!$A$4:$A$11</c:f>
              <c:strCache>
                <c:ptCount val="8"/>
                <c:pt idx="0">
                  <c:v>Consommation</c:v>
                </c:pt>
                <c:pt idx="1">
                  <c:v>Energie</c:v>
                </c:pt>
                <c:pt idx="2">
                  <c:v>Finance</c:v>
                </c:pt>
                <c:pt idx="3">
                  <c:v>Industrie</c:v>
                </c:pt>
                <c:pt idx="4">
                  <c:v>Materiaux</c:v>
                </c:pt>
                <c:pt idx="5">
                  <c:v>Sante</c:v>
                </c:pt>
                <c:pt idx="6">
                  <c:v>Technologie</c:v>
                </c:pt>
                <c:pt idx="7">
                  <c:v>Telecommunications</c:v>
                </c:pt>
              </c:strCache>
            </c:strRef>
          </c:cat>
          <c:val>
            <c:numRef>
              <c:f>Graphiques!$B$4:$B$11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Positions" displayName="TablePositions" ref="A3:J28" totalsRowShown="0">
  <autoFilter ref="A3:J28"/>
  <tableColumns count="10">
    <tableColumn id="1" name="ISIN"/>
    <tableColumn id="2" name="Libelle"/>
    <tableColumn id="3" name="Secteur"/>
    <tableColumn id="4" name="Devise"/>
    <tableColumn id="5" name="Notation"/>
    <tableColumn id="6" name="Exposition (EUR)"/>
    <tableColumn id="7" name="Duration"/>
    <tableColumn id="8" name="Beta individuel"/>
    <tableColumn id="9" name="Poids"/>
    <tableColumn id="10" name="Exposition Ab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>
      <pane ySplit="9" topLeftCell="A10" activePane="bottomLeft" state="frozen"/>
      <selection pane="bottomLeft"/>
    </sheetView>
  </sheetViews>
  <sheetFormatPr defaultRowHeight="15"/>
  <cols>
    <col min="1" max="1" width="20.7109375" customWidth="1"/>
    <col min="2" max="2" width="32.7109375" customWidth="1"/>
    <col min="3" max="3" width="16.7109375" customWidth="1"/>
    <col min="4" max="4" width="60.7109375" customWidth="1"/>
  </cols>
  <sheetData>
    <row r="1" spans="1:5">
      <c r="A1" s="1" t="s">
        <v>89</v>
      </c>
      <c r="B1" s="1"/>
      <c r="C1" s="1"/>
      <c r="D1" s="1"/>
      <c r="E1" s="1"/>
    </row>
    <row r="2" spans="1:5">
      <c r="A2" s="2" t="s">
        <v>90</v>
      </c>
      <c r="B2" t="s">
        <v>91</v>
      </c>
    </row>
    <row r="3" spans="1:5">
      <c r="A3" s="2" t="s">
        <v>92</v>
      </c>
      <c r="B3" s="3">
        <v>46234</v>
      </c>
    </row>
    <row r="4" spans="1:5">
      <c r="A4" s="2" t="s">
        <v>93</v>
      </c>
      <c r="B4">
        <f>COUNT(RendementsFonds)</f>
        <v>0</v>
      </c>
    </row>
    <row r="5" spans="1:5">
      <c r="A5" s="2" t="s">
        <v>94</v>
      </c>
      <c r="D5" s="4">
        <v>0.99</v>
      </c>
    </row>
    <row r="6" spans="1:5">
      <c r="A6" s="2" t="s">
        <v>95</v>
      </c>
      <c r="D6" s="4">
        <v>0.025</v>
      </c>
    </row>
    <row r="9" spans="1:5">
      <c r="A9" s="5" t="s">
        <v>96</v>
      </c>
      <c r="B9" s="5" t="s">
        <v>97</v>
      </c>
      <c r="C9" s="5" t="s">
        <v>98</v>
      </c>
      <c r="D9" s="5" t="s">
        <v>99</v>
      </c>
    </row>
    <row r="10" spans="1:5">
      <c r="A10" s="6" t="s">
        <v>100</v>
      </c>
      <c r="B10" s="6" t="s">
        <v>101</v>
      </c>
      <c r="C10" s="4">
        <f>IFERROR(-PERCENTILE.INC(RendementsFonds,1-NiveauConfianceVaR),"N/D")</f>
        <v>0</v>
      </c>
      <c r="D10" s="7">
        <f>IFERROR(-PERCENTILE.INC(RendementsFonds,1-NiveauConfianceVaR),"N/D")</f>
        <v>0</v>
      </c>
    </row>
    <row r="11" spans="1:5">
      <c r="A11" s="6" t="s">
        <v>102</v>
      </c>
      <c r="B11" s="6" t="s">
        <v>103</v>
      </c>
      <c r="C11" s="4">
        <f>IFERROR(-(AVERAGE(RendementsFonds)-NORM.S.INV(NiveauConfianceVaR)*STDEV.S(RendementsFonds)),"N/D")</f>
        <v>0</v>
      </c>
      <c r="D11" s="7">
        <f>IFERROR(-(AVERAGE(RendementsFonds)-NORM.S.INV(NiveauConfianceVaR)*STDEV.S(RendementsFonds)),"N/D")</f>
        <v>0</v>
      </c>
    </row>
    <row r="12" spans="1:5">
      <c r="A12" s="6" t="s">
        <v>104</v>
      </c>
      <c r="B12" s="6" t="s">
        <v>105</v>
      </c>
      <c r="C12" s="4">
        <f>IFERROR(-AVERAGEIF(RendementsFonds,"&lt;="&amp;PERCENTILE.INC(RendementsFonds,0.025)),"N/D")</f>
        <v>0</v>
      </c>
      <c r="D12" s="7">
        <f>IFERROR(-AVERAGEIF(RendementsFonds,"&lt;="&amp;PERCENTILE.INC(RendementsFonds,0.025)),"N/D")</f>
        <v>0</v>
      </c>
    </row>
    <row r="13" spans="1:5">
      <c r="A13" s="6" t="s">
        <v>106</v>
      </c>
      <c r="B13" s="6" t="s">
        <v>107</v>
      </c>
      <c r="C13" s="4">
        <f>IFERROR(STDEV.S(RendementsFonds)*SQRT(252),"N/D")</f>
        <v>0</v>
      </c>
      <c r="D13" s="7">
        <f>IFERROR(STDEV.S(RendementsFonds)*SQRT(252),"N/D")</f>
        <v>0</v>
      </c>
    </row>
    <row r="14" spans="1:5">
      <c r="A14" s="6" t="s">
        <v>108</v>
      </c>
      <c r="B14" s="6" t="s">
        <v>109</v>
      </c>
      <c r="C14" s="4">
        <f>IFERROR(STDEV.S(RendementActif)*SQRT(252),"N/D")</f>
        <v>0</v>
      </c>
      <c r="D14" s="7">
        <f>IFERROR(STDEV.S(RendementActif)*SQRT(252),"N/D")</f>
        <v>0</v>
      </c>
    </row>
    <row r="15" spans="1:5">
      <c r="A15" s="6" t="s">
        <v>110</v>
      </c>
      <c r="B15" s="6" t="s">
        <v>111</v>
      </c>
      <c r="C15" s="8">
        <f>IFERROR(SLOPE(RendementsFonds,RendementsBench),"N/D")</f>
        <v>0</v>
      </c>
      <c r="D15" s="7">
        <f>IFERROR(SLOPE(RendementsFonds,RendementsBench),"N/D")</f>
        <v>0</v>
      </c>
    </row>
    <row r="16" spans="1:5">
      <c r="A16" s="6" t="s">
        <v>112</v>
      </c>
      <c r="B16" s="6" t="s">
        <v>113</v>
      </c>
      <c r="C16" s="8">
        <f>IFERROR((AVERAGE(RendementsFonds)*252-TauxSansRisque)/(STDEV.S(RendementsFonds)*SQRT(252)),"N/D")</f>
        <v>0</v>
      </c>
      <c r="D16" s="7">
        <f>IFERROR((AVERAGE(RendementsFonds)*252-TauxSansRisque)/(STDEV.S(RendementsFonds)*SQRT(252)),"N/D")</f>
        <v>0</v>
      </c>
    </row>
    <row r="17" spans="1:4">
      <c r="A17" s="6" t="s">
        <v>114</v>
      </c>
      <c r="B17" s="6" t="s">
        <v>115</v>
      </c>
      <c r="C17" s="8">
        <f>IFERROR((AVERAGE(RendementActif)*252)/(STDEV.S(RendementActif)*SQRT(252)),"N/D")</f>
        <v>0</v>
      </c>
      <c r="D17" s="7">
        <f>IFERROR((AVERAGE(RendementActif)*252)/(STDEV.S(RendementActif)*SQRT(252)),"N/D")</f>
        <v>0</v>
      </c>
    </row>
    <row r="18" spans="1:4">
      <c r="A18" s="6" t="s">
        <v>116</v>
      </c>
      <c r="B18" s="6" t="s">
        <v>117</v>
      </c>
      <c r="C18" s="4">
        <f>IFERROR(MIN(DrawdownFonds),"N/D")</f>
        <v>0</v>
      </c>
      <c r="D18" s="7">
        <f>IFERROR(MIN(DrawdownFonds),"N/D")</f>
        <v>0</v>
      </c>
    </row>
    <row r="19" spans="1:4">
      <c r="A19" s="6" t="s">
        <v>118</v>
      </c>
      <c r="B19" s="6" t="s">
        <v>119</v>
      </c>
      <c r="C19" s="4">
        <f>IFERROR(MAX(TablePositions[Exposition Abs])/SUM(TablePositions[Exposition Abs]),"N/D")</f>
        <v>0</v>
      </c>
      <c r="D19" s="7">
        <f>IFERROR(MAX(TablePositions[Exposition Abs])/SUM(TablePositions[Exposition Abs]),"N/D")</f>
        <v>0</v>
      </c>
    </row>
    <row r="20" spans="1:4">
      <c r="A20" s="6" t="s">
        <v>120</v>
      </c>
      <c r="B20" s="6" t="s">
        <v>121</v>
      </c>
      <c r="C20" s="9">
        <f>IFERROR(SUMPRODUCT(ABS(TablePositions[Exposition (EUR)])),"N/D")</f>
        <v>0</v>
      </c>
      <c r="D20" s="7">
        <f>IFERROR(SUMPRODUCT(ABS(TablePositions[Exposition (EUR)])),"N/D")</f>
        <v>0</v>
      </c>
    </row>
    <row r="21" spans="1:4">
      <c r="A21" s="6" t="s">
        <v>122</v>
      </c>
      <c r="B21" s="6" t="s">
        <v>123</v>
      </c>
      <c r="C21" s="9">
        <f>IFERROR(SUM(TablePositions[Exposition (EUR)]),"N/D")</f>
        <v>0</v>
      </c>
      <c r="D21" s="7">
        <f>IFERROR(SUM(TablePositions[Exposition (EUR)]),"N/D")</f>
        <v>0</v>
      </c>
    </row>
    <row r="22" spans="1:4">
      <c r="A22" s="6" t="s">
        <v>124</v>
      </c>
      <c r="B22" s="6" t="s">
        <v>125</v>
      </c>
      <c r="C22" s="8">
        <f>COUNTA(TablePositions[ISIN])</f>
        <v>0</v>
      </c>
      <c r="D22" s="7">
        <f>COUNTA(TablePositions[ISIN])</f>
        <v>0</v>
      </c>
    </row>
    <row r="23" spans="1:4">
      <c r="A23" s="6" t="s">
        <v>126</v>
      </c>
      <c r="B23" s="6" t="s">
        <v>127</v>
      </c>
      <c r="C23" s="6">
        <f>IFERROR(INDEX(TablePositions[Secteur],MATCH(MAX(TablePositions[Exposition Abs]),TablePositions[Exposition Abs],0)),"N/D")</f>
        <v>0</v>
      </c>
      <c r="D23" s="7">
        <f>IFERROR(INDEX(TablePositions[Secteur],MATCH(MAX(TablePositions[Exposition Abs]),TablePositions[Exposition Abs],0)),"N/D")</f>
        <v>0</v>
      </c>
    </row>
    <row r="25" spans="1:4">
      <c r="A25" s="6" t="s">
        <v>128</v>
      </c>
      <c r="B25" s="6" t="s">
        <v>129</v>
      </c>
      <c r="C25" s="8">
        <f>IFERROR(COUNTIF(Limites!$H$5:$H$100,"DEPASSEMENT"),0)</f>
        <v>0</v>
      </c>
      <c r="D25" s="7">
        <f>COUNTIF(Limites!$H$5:$H$100,"DEPASSEMENT")</f>
        <v>0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2.7109375" customWidth="1"/>
    <col min="3" max="5" width="14.7109375" customWidth="1"/>
    <col min="6" max="10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7" t="s">
        <v>1</v>
      </c>
    </row>
    <row r="3" spans="1:10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520150.9</v>
      </c>
      <c r="G4">
        <v>1.76</v>
      </c>
      <c r="H4">
        <v>1.3</v>
      </c>
      <c r="I4" s="4">
        <f>F4/SUM(TablePositions[Exposition (EUR)])</f>
        <v>0</v>
      </c>
      <c r="J4" s="9">
        <f>ABS(F4)</f>
        <v>0</v>
      </c>
    </row>
    <row r="5" spans="1:10">
      <c r="A5" t="s">
        <v>17</v>
      </c>
      <c r="B5" t="s">
        <v>18</v>
      </c>
      <c r="C5" t="s">
        <v>19</v>
      </c>
      <c r="D5" t="s">
        <v>20</v>
      </c>
      <c r="E5" t="s">
        <v>21</v>
      </c>
      <c r="F5">
        <v>449840.87</v>
      </c>
      <c r="G5">
        <v>4.82</v>
      </c>
      <c r="H5">
        <v>1.12</v>
      </c>
      <c r="I5" s="4">
        <f>F5/SUM(TablePositions[Exposition (EUR)])</f>
        <v>0</v>
      </c>
      <c r="J5" s="9">
        <f>ABS(F5)</f>
        <v>0</v>
      </c>
    </row>
    <row r="6" spans="1:10">
      <c r="A6" t="s">
        <v>22</v>
      </c>
      <c r="B6" t="s">
        <v>23</v>
      </c>
      <c r="C6" t="s">
        <v>24</v>
      </c>
      <c r="D6" t="s">
        <v>25</v>
      </c>
      <c r="E6" t="s">
        <v>26</v>
      </c>
      <c r="F6">
        <v>776986.4</v>
      </c>
      <c r="G6">
        <v>7.78</v>
      </c>
      <c r="H6">
        <v>1.05</v>
      </c>
      <c r="I6" s="4">
        <f>F6/SUM(TablePositions[Exposition (EUR)])</f>
        <v>0</v>
      </c>
      <c r="J6" s="9">
        <f>ABS(F6)</f>
        <v>0</v>
      </c>
    </row>
    <row r="7" spans="1:10">
      <c r="A7" t="s">
        <v>27</v>
      </c>
      <c r="B7" t="s">
        <v>28</v>
      </c>
      <c r="C7" t="s">
        <v>19</v>
      </c>
      <c r="D7" t="s">
        <v>25</v>
      </c>
      <c r="E7" t="s">
        <v>29</v>
      </c>
      <c r="F7">
        <v>1648428.75</v>
      </c>
      <c r="G7">
        <v>7.41</v>
      </c>
      <c r="H7">
        <v>1.58</v>
      </c>
      <c r="I7" s="4">
        <f>F7/SUM(TablePositions[Exposition (EUR)])</f>
        <v>0</v>
      </c>
      <c r="J7" s="9">
        <f>ABS(F7)</f>
        <v>0</v>
      </c>
    </row>
    <row r="8" spans="1:10">
      <c r="A8" t="s">
        <v>30</v>
      </c>
      <c r="B8" t="s">
        <v>31</v>
      </c>
      <c r="C8" t="s">
        <v>24</v>
      </c>
      <c r="D8" t="s">
        <v>15</v>
      </c>
      <c r="E8" t="s">
        <v>32</v>
      </c>
      <c r="F8">
        <v>762435.67</v>
      </c>
      <c r="G8">
        <v>6.28</v>
      </c>
      <c r="H8">
        <v>1.33</v>
      </c>
      <c r="I8" s="4">
        <f>F8/SUM(TablePositions[Exposition (EUR)])</f>
        <v>0</v>
      </c>
      <c r="J8" s="9">
        <f>ABS(F8)</f>
        <v>0</v>
      </c>
    </row>
    <row r="9" spans="1:10">
      <c r="A9" t="s">
        <v>33</v>
      </c>
      <c r="B9" t="s">
        <v>34</v>
      </c>
      <c r="C9" t="s">
        <v>35</v>
      </c>
      <c r="D9" t="s">
        <v>15</v>
      </c>
      <c r="E9" t="s">
        <v>16</v>
      </c>
      <c r="F9">
        <v>676210.3</v>
      </c>
      <c r="G9">
        <v>5.26</v>
      </c>
      <c r="H9">
        <v>0.6899999999999999</v>
      </c>
      <c r="I9" s="4">
        <f>F9/SUM(TablePositions[Exposition (EUR)])</f>
        <v>0</v>
      </c>
      <c r="J9" s="9">
        <f>ABS(F9)</f>
        <v>0</v>
      </c>
    </row>
    <row r="10" spans="1:10">
      <c r="A10" t="s">
        <v>36</v>
      </c>
      <c r="B10" t="s">
        <v>37</v>
      </c>
      <c r="C10" t="s">
        <v>14</v>
      </c>
      <c r="D10" t="s">
        <v>25</v>
      </c>
      <c r="E10" t="s">
        <v>16</v>
      </c>
      <c r="F10">
        <v>400314.57</v>
      </c>
      <c r="G10">
        <v>2.09</v>
      </c>
      <c r="H10">
        <v>0.55</v>
      </c>
      <c r="I10" s="4">
        <f>F10/SUM(TablePositions[Exposition (EUR)])</f>
        <v>0</v>
      </c>
      <c r="J10" s="9">
        <f>ABS(F10)</f>
        <v>0</v>
      </c>
    </row>
    <row r="11" spans="1:10">
      <c r="A11" t="s">
        <v>38</v>
      </c>
      <c r="B11" t="s">
        <v>39</v>
      </c>
      <c r="C11" t="s">
        <v>40</v>
      </c>
      <c r="D11" t="s">
        <v>25</v>
      </c>
      <c r="E11" t="s">
        <v>16</v>
      </c>
      <c r="F11">
        <v>534772.64</v>
      </c>
      <c r="G11">
        <v>0.85</v>
      </c>
      <c r="H11">
        <v>0.52</v>
      </c>
      <c r="I11" s="4">
        <f>F11/SUM(TablePositions[Exposition (EUR)])</f>
        <v>0</v>
      </c>
      <c r="J11" s="9">
        <f>ABS(F11)</f>
        <v>0</v>
      </c>
    </row>
    <row r="12" spans="1:10">
      <c r="A12" t="s">
        <v>41</v>
      </c>
      <c r="B12" t="s">
        <v>42</v>
      </c>
      <c r="C12" t="s">
        <v>14</v>
      </c>
      <c r="D12" t="s">
        <v>15</v>
      </c>
      <c r="E12" t="s">
        <v>16</v>
      </c>
      <c r="F12">
        <v>723449.91</v>
      </c>
      <c r="G12">
        <v>3.01</v>
      </c>
      <c r="H12">
        <v>1.06</v>
      </c>
      <c r="I12" s="4">
        <f>F12/SUM(TablePositions[Exposition (EUR)])</f>
        <v>0</v>
      </c>
      <c r="J12" s="9">
        <f>ABS(F12)</f>
        <v>0</v>
      </c>
    </row>
    <row r="13" spans="1:10">
      <c r="A13" t="s">
        <v>43</v>
      </c>
      <c r="B13" t="s">
        <v>44</v>
      </c>
      <c r="C13" t="s">
        <v>35</v>
      </c>
      <c r="D13" t="s">
        <v>15</v>
      </c>
      <c r="E13" t="s">
        <v>26</v>
      </c>
      <c r="F13">
        <v>662107.38</v>
      </c>
      <c r="G13">
        <v>3.35</v>
      </c>
      <c r="H13">
        <v>0.83</v>
      </c>
      <c r="I13" s="4">
        <f>F13/SUM(TablePositions[Exposition (EUR)])</f>
        <v>0</v>
      </c>
      <c r="J13" s="9">
        <f>ABS(F13)</f>
        <v>0</v>
      </c>
    </row>
    <row r="14" spans="1:10">
      <c r="A14" t="s">
        <v>45</v>
      </c>
      <c r="B14" t="s">
        <v>46</v>
      </c>
      <c r="C14" t="s">
        <v>47</v>
      </c>
      <c r="D14" t="s">
        <v>15</v>
      </c>
      <c r="E14" t="s">
        <v>21</v>
      </c>
      <c r="F14">
        <v>2668416.01</v>
      </c>
      <c r="G14">
        <v>8.859999999999999</v>
      </c>
      <c r="H14">
        <v>0.72</v>
      </c>
      <c r="I14" s="4">
        <f>F14/SUM(TablePositions[Exposition (EUR)])</f>
        <v>0</v>
      </c>
      <c r="J14" s="9">
        <f>ABS(F14)</f>
        <v>0</v>
      </c>
    </row>
    <row r="15" spans="1:10">
      <c r="A15" t="s">
        <v>48</v>
      </c>
      <c r="B15" t="s">
        <v>49</v>
      </c>
      <c r="C15" t="s">
        <v>50</v>
      </c>
      <c r="D15" t="s">
        <v>15</v>
      </c>
      <c r="E15" t="s">
        <v>21</v>
      </c>
      <c r="F15">
        <v>547227.6899999999</v>
      </c>
      <c r="G15">
        <v>1.83</v>
      </c>
      <c r="H15">
        <v>0.92</v>
      </c>
      <c r="I15" s="4">
        <f>F15/SUM(TablePositions[Exposition (EUR)])</f>
        <v>0</v>
      </c>
      <c r="J15" s="9">
        <f>ABS(F15)</f>
        <v>0</v>
      </c>
    </row>
    <row r="16" spans="1:10">
      <c r="A16" t="s">
        <v>51</v>
      </c>
      <c r="B16" t="s">
        <v>52</v>
      </c>
      <c r="C16" t="s">
        <v>53</v>
      </c>
      <c r="D16" t="s">
        <v>25</v>
      </c>
      <c r="E16" t="s">
        <v>32</v>
      </c>
      <c r="F16">
        <v>1638567.88</v>
      </c>
      <c r="G16">
        <v>1.65</v>
      </c>
      <c r="H16">
        <v>0.49</v>
      </c>
      <c r="I16" s="4">
        <f>F16/SUM(TablePositions[Exposition (EUR)])</f>
        <v>0</v>
      </c>
      <c r="J16" s="9">
        <f>ABS(F16)</f>
        <v>0</v>
      </c>
    </row>
    <row r="17" spans="1:10">
      <c r="A17" t="s">
        <v>54</v>
      </c>
      <c r="B17" t="s">
        <v>55</v>
      </c>
      <c r="C17" t="s">
        <v>53</v>
      </c>
      <c r="D17" t="s">
        <v>56</v>
      </c>
      <c r="E17" t="s">
        <v>57</v>
      </c>
      <c r="F17">
        <v>339741.79</v>
      </c>
      <c r="G17">
        <v>4.52</v>
      </c>
      <c r="H17">
        <v>0.53</v>
      </c>
      <c r="I17" s="4">
        <f>F17/SUM(TablePositions[Exposition (EUR)])</f>
        <v>0</v>
      </c>
      <c r="J17" s="9">
        <f>ABS(F17)</f>
        <v>0</v>
      </c>
    </row>
    <row r="18" spans="1:10">
      <c r="A18" t="s">
        <v>58</v>
      </c>
      <c r="B18" t="s">
        <v>59</v>
      </c>
      <c r="C18" t="s">
        <v>19</v>
      </c>
      <c r="D18" t="s">
        <v>56</v>
      </c>
      <c r="E18" t="s">
        <v>29</v>
      </c>
      <c r="F18">
        <v>-577014.96</v>
      </c>
      <c r="G18">
        <v>2.88</v>
      </c>
      <c r="H18">
        <v>1.31</v>
      </c>
      <c r="I18" s="4">
        <f>F18/SUM(TablePositions[Exposition (EUR)])</f>
        <v>0</v>
      </c>
      <c r="J18" s="9">
        <f>ABS(F18)</f>
        <v>0</v>
      </c>
    </row>
    <row r="19" spans="1:10">
      <c r="A19" t="s">
        <v>60</v>
      </c>
      <c r="B19" t="s">
        <v>61</v>
      </c>
      <c r="C19" t="s">
        <v>19</v>
      </c>
      <c r="D19" t="s">
        <v>15</v>
      </c>
      <c r="E19" t="s">
        <v>29</v>
      </c>
      <c r="F19">
        <v>213216.18</v>
      </c>
      <c r="G19">
        <v>7.01</v>
      </c>
      <c r="H19">
        <v>1.29</v>
      </c>
      <c r="I19" s="4">
        <f>F19/SUM(TablePositions[Exposition (EUR)])</f>
        <v>0</v>
      </c>
      <c r="J19" s="9">
        <f>ABS(F19)</f>
        <v>0</v>
      </c>
    </row>
    <row r="20" spans="1:10">
      <c r="A20" t="s">
        <v>62</v>
      </c>
      <c r="B20" t="s">
        <v>63</v>
      </c>
      <c r="C20" t="s">
        <v>35</v>
      </c>
      <c r="D20" t="s">
        <v>15</v>
      </c>
      <c r="E20" t="s">
        <v>26</v>
      </c>
      <c r="F20">
        <v>921888.23</v>
      </c>
      <c r="G20">
        <v>6.66</v>
      </c>
      <c r="H20">
        <v>1.18</v>
      </c>
      <c r="I20" s="4">
        <f>F20/SUM(TablePositions[Exposition (EUR)])</f>
        <v>0</v>
      </c>
      <c r="J20" s="9">
        <f>ABS(F20)</f>
        <v>0</v>
      </c>
    </row>
    <row r="21" spans="1:10">
      <c r="A21" t="s">
        <v>64</v>
      </c>
      <c r="B21" t="s">
        <v>65</v>
      </c>
      <c r="C21" t="s">
        <v>50</v>
      </c>
      <c r="D21" t="s">
        <v>56</v>
      </c>
      <c r="E21" t="s">
        <v>21</v>
      </c>
      <c r="F21">
        <v>305314.48</v>
      </c>
      <c r="G21">
        <v>1.05</v>
      </c>
      <c r="H21">
        <v>0.39</v>
      </c>
      <c r="I21" s="4">
        <f>F21/SUM(TablePositions[Exposition (EUR)])</f>
        <v>0</v>
      </c>
      <c r="J21" s="9">
        <f>ABS(F21)</f>
        <v>0</v>
      </c>
    </row>
    <row r="22" spans="1:10">
      <c r="A22" t="s">
        <v>66</v>
      </c>
      <c r="B22" t="s">
        <v>67</v>
      </c>
      <c r="C22" t="s">
        <v>53</v>
      </c>
      <c r="D22" t="s">
        <v>25</v>
      </c>
      <c r="E22" t="s">
        <v>26</v>
      </c>
      <c r="F22">
        <v>1582600.01</v>
      </c>
      <c r="G22">
        <v>1.65</v>
      </c>
      <c r="H22">
        <v>1.33</v>
      </c>
      <c r="I22" s="4">
        <f>F22/SUM(TablePositions[Exposition (EUR)])</f>
        <v>0</v>
      </c>
      <c r="J22" s="9">
        <f>ABS(F22)</f>
        <v>0</v>
      </c>
    </row>
    <row r="23" spans="1:10">
      <c r="A23" t="s">
        <v>68</v>
      </c>
      <c r="B23" t="s">
        <v>69</v>
      </c>
      <c r="C23" t="s">
        <v>24</v>
      </c>
      <c r="D23" t="s">
        <v>15</v>
      </c>
      <c r="E23" t="s">
        <v>29</v>
      </c>
      <c r="F23">
        <v>408068.26</v>
      </c>
      <c r="G23">
        <v>6.17</v>
      </c>
      <c r="H23">
        <v>0.28</v>
      </c>
      <c r="I23" s="4">
        <f>F23/SUM(TablePositions[Exposition (EUR)])</f>
        <v>0</v>
      </c>
      <c r="J23" s="9">
        <f>ABS(F23)</f>
        <v>0</v>
      </c>
    </row>
    <row r="24" spans="1:10">
      <c r="A24" t="s">
        <v>70</v>
      </c>
      <c r="B24" t="s">
        <v>71</v>
      </c>
      <c r="C24" t="s">
        <v>14</v>
      </c>
      <c r="D24" t="s">
        <v>15</v>
      </c>
      <c r="E24" t="s">
        <v>16</v>
      </c>
      <c r="F24">
        <v>1187118.36</v>
      </c>
      <c r="G24">
        <v>4.27</v>
      </c>
      <c r="H24">
        <v>0.47</v>
      </c>
      <c r="I24" s="4">
        <f>F24/SUM(TablePositions[Exposition (EUR)])</f>
        <v>0</v>
      </c>
      <c r="J24" s="9">
        <f>ABS(F24)</f>
        <v>0</v>
      </c>
    </row>
    <row r="25" spans="1:10">
      <c r="A25" t="s">
        <v>72</v>
      </c>
      <c r="B25" t="s">
        <v>73</v>
      </c>
      <c r="C25" t="s">
        <v>53</v>
      </c>
      <c r="D25" t="s">
        <v>15</v>
      </c>
      <c r="E25" t="s">
        <v>57</v>
      </c>
      <c r="F25">
        <v>1356847.4</v>
      </c>
      <c r="G25">
        <v>5.04</v>
      </c>
      <c r="H25">
        <v>0.8</v>
      </c>
      <c r="I25" s="4">
        <f>F25/SUM(TablePositions[Exposition (EUR)])</f>
        <v>0</v>
      </c>
      <c r="J25" s="9">
        <f>ABS(F25)</f>
        <v>0</v>
      </c>
    </row>
    <row r="26" spans="1:10">
      <c r="A26" t="s">
        <v>74</v>
      </c>
      <c r="B26" t="s">
        <v>75</v>
      </c>
      <c r="C26" t="s">
        <v>14</v>
      </c>
      <c r="D26" t="s">
        <v>15</v>
      </c>
      <c r="E26" t="s">
        <v>21</v>
      </c>
      <c r="F26">
        <v>422889.03</v>
      </c>
      <c r="G26">
        <v>2.37</v>
      </c>
      <c r="H26">
        <v>0.55</v>
      </c>
      <c r="I26" s="4">
        <f>F26/SUM(TablePositions[Exposition (EUR)])</f>
        <v>0</v>
      </c>
      <c r="J26" s="9">
        <f>ABS(F26)</f>
        <v>0</v>
      </c>
    </row>
    <row r="27" spans="1:10">
      <c r="A27" t="s">
        <v>76</v>
      </c>
      <c r="B27" t="s">
        <v>77</v>
      </c>
      <c r="C27" t="s">
        <v>40</v>
      </c>
      <c r="D27" t="s">
        <v>20</v>
      </c>
      <c r="E27" t="s">
        <v>16</v>
      </c>
      <c r="F27">
        <v>-304325.97</v>
      </c>
      <c r="G27">
        <v>3.15</v>
      </c>
      <c r="H27">
        <v>0.77</v>
      </c>
      <c r="I27" s="4">
        <f>F27/SUM(TablePositions[Exposition (EUR)])</f>
        <v>0</v>
      </c>
      <c r="J27" s="9">
        <f>ABS(F27)</f>
        <v>0</v>
      </c>
    </row>
    <row r="28" spans="1:10">
      <c r="A28" t="s">
        <v>78</v>
      </c>
      <c r="B28" t="s">
        <v>79</v>
      </c>
      <c r="C28" t="s">
        <v>40</v>
      </c>
      <c r="D28" t="s">
        <v>25</v>
      </c>
      <c r="E28" t="s">
        <v>21</v>
      </c>
      <c r="F28">
        <v>462320.24</v>
      </c>
      <c r="G28">
        <v>6.6</v>
      </c>
      <c r="H28">
        <v>0.66</v>
      </c>
      <c r="I28" s="4">
        <f>F28/SUM(TablePositions[Exposition (EUR)])</f>
        <v>0</v>
      </c>
      <c r="J28" s="9">
        <f>ABS(F28)</f>
        <v>0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2.7109375" customWidth="1"/>
    <col min="2" max="7" width="15.7109375" customWidth="1"/>
  </cols>
  <sheetData>
    <row r="1" spans="1:7">
      <c r="A1" s="1" t="s">
        <v>80</v>
      </c>
      <c r="B1" s="1"/>
      <c r="C1" s="1"/>
      <c r="D1" s="1"/>
      <c r="E1" s="1"/>
      <c r="F1" s="1"/>
      <c r="G1" s="1"/>
    </row>
    <row r="2" spans="1:7">
      <c r="A2" s="7" t="s">
        <v>81</v>
      </c>
    </row>
    <row r="3" spans="1:7">
      <c r="A3" s="5" t="s">
        <v>82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88</v>
      </c>
    </row>
    <row r="4" spans="1:7">
      <c r="A4" s="3">
        <v>45873</v>
      </c>
      <c r="B4" s="8">
        <v>100.3336120638622</v>
      </c>
      <c r="C4" s="8">
        <v>100.9191991334684</v>
      </c>
      <c r="D4" s="4">
        <f>""</f>
        <v>0</v>
      </c>
      <c r="E4" s="4">
        <f>""</f>
        <v>0</v>
      </c>
      <c r="F4" s="4">
        <f>IFERROR(D4-E4,"")</f>
        <v>0</v>
      </c>
      <c r="G4" s="4">
        <f>B4/MAX($B$4:B4)-1</f>
        <v>0</v>
      </c>
    </row>
    <row r="5" spans="1:7">
      <c r="A5" s="3">
        <v>45874</v>
      </c>
      <c r="B5" s="8">
        <v>99.23330723420501</v>
      </c>
      <c r="C5" s="8">
        <v>99.78102123036075</v>
      </c>
      <c r="D5" s="4">
        <f>IFERROR((B5/B4)-1,"")</f>
        <v>0</v>
      </c>
      <c r="E5" s="4">
        <f>IFERROR((C5/C4)-1,"")</f>
        <v>0</v>
      </c>
      <c r="F5" s="4">
        <f>IFERROR(D5-E5,"")</f>
        <v>0</v>
      </c>
      <c r="G5" s="4">
        <f>B5/MAX($B$4:B5)-1</f>
        <v>0</v>
      </c>
    </row>
    <row r="6" spans="1:7">
      <c r="A6" s="3">
        <v>45875</v>
      </c>
      <c r="B6" s="8">
        <v>98.696221492359</v>
      </c>
      <c r="C6" s="8">
        <v>98.84051644901028</v>
      </c>
      <c r="D6" s="4">
        <f>IFERROR((B6/B5)-1,"")</f>
        <v>0</v>
      </c>
      <c r="E6" s="4">
        <f>IFERROR((C6/C5)-1,"")</f>
        <v>0</v>
      </c>
      <c r="F6" s="4">
        <f>IFERROR(D6-E6,"")</f>
        <v>0</v>
      </c>
      <c r="G6" s="4">
        <f>B6/MAX($B$4:B6)-1</f>
        <v>0</v>
      </c>
    </row>
    <row r="7" spans="1:7">
      <c r="A7" s="3">
        <v>45876</v>
      </c>
      <c r="B7" s="8">
        <v>97.58812768257468</v>
      </c>
      <c r="C7" s="8">
        <v>97.35280434238584</v>
      </c>
      <c r="D7" s="4">
        <f>IFERROR((B7/B6)-1,"")</f>
        <v>0</v>
      </c>
      <c r="E7" s="4">
        <f>IFERROR((C7/C6)-1,"")</f>
        <v>0</v>
      </c>
      <c r="F7" s="4">
        <f>IFERROR(D7-E7,"")</f>
        <v>0</v>
      </c>
      <c r="G7" s="4">
        <f>B7/MAX($B$4:B7)-1</f>
        <v>0</v>
      </c>
    </row>
    <row r="8" spans="1:7">
      <c r="A8" s="3">
        <v>45877</v>
      </c>
      <c r="B8" s="8">
        <v>97.57416924701397</v>
      </c>
      <c r="C8" s="8">
        <v>97.23319212745571</v>
      </c>
      <c r="D8" s="4">
        <f>IFERROR((B8/B7)-1,"")</f>
        <v>0</v>
      </c>
      <c r="E8" s="4">
        <f>IFERROR((C8/C7)-1,"")</f>
        <v>0</v>
      </c>
      <c r="F8" s="4">
        <f>IFERROR(D8-E8,"")</f>
        <v>0</v>
      </c>
      <c r="G8" s="4">
        <f>B8/MAX($B$4:B8)-1</f>
        <v>0</v>
      </c>
    </row>
    <row r="9" spans="1:7">
      <c r="A9" s="3">
        <v>45880</v>
      </c>
      <c r="B9" s="8">
        <v>99.22729282345593</v>
      </c>
      <c r="C9" s="8">
        <v>99.79509282237437</v>
      </c>
      <c r="D9" s="4">
        <f>IFERROR((B9/B8)-1,"")</f>
        <v>0</v>
      </c>
      <c r="E9" s="4">
        <f>IFERROR((C9/C8)-1,"")</f>
        <v>0</v>
      </c>
      <c r="F9" s="4">
        <f>IFERROR(D9-E9,"")</f>
        <v>0</v>
      </c>
      <c r="G9" s="4">
        <f>B9/MAX($B$4:B9)-1</f>
        <v>0</v>
      </c>
    </row>
    <row r="10" spans="1:7">
      <c r="A10" s="3">
        <v>45881</v>
      </c>
      <c r="B10" s="8">
        <v>99.21452696820549</v>
      </c>
      <c r="C10" s="8">
        <v>100.6759551175938</v>
      </c>
      <c r="D10" s="4">
        <f>IFERROR((B10/B9)-1,"")</f>
        <v>0</v>
      </c>
      <c r="E10" s="4">
        <f>IFERROR((C10/C9)-1,"")</f>
        <v>0</v>
      </c>
      <c r="F10" s="4">
        <f>IFERROR(D10-E10,"")</f>
        <v>0</v>
      </c>
      <c r="G10" s="4">
        <f>B10/MAX($B$4:B10)-1</f>
        <v>0</v>
      </c>
    </row>
    <row r="11" spans="1:7">
      <c r="A11" s="3">
        <v>45882</v>
      </c>
      <c r="B11" s="8">
        <v>97.4586909857282</v>
      </c>
      <c r="C11" s="8">
        <v>99.70453509941845</v>
      </c>
      <c r="D11" s="4">
        <f>IFERROR((B11/B10)-1,"")</f>
        <v>0</v>
      </c>
      <c r="E11" s="4">
        <f>IFERROR((C11/C10)-1,"")</f>
        <v>0</v>
      </c>
      <c r="F11" s="4">
        <f>IFERROR(D11-E11,"")</f>
        <v>0</v>
      </c>
      <c r="G11" s="4">
        <f>B11/MAX($B$4:B11)-1</f>
        <v>0</v>
      </c>
    </row>
    <row r="12" spans="1:7">
      <c r="A12" s="3">
        <v>45883</v>
      </c>
      <c r="B12" s="8">
        <v>96.71904538022467</v>
      </c>
      <c r="C12" s="8">
        <v>98.90117592002531</v>
      </c>
      <c r="D12" s="4">
        <f>IFERROR((B12/B11)-1,"")</f>
        <v>0</v>
      </c>
      <c r="E12" s="4">
        <f>IFERROR((C12/C11)-1,"")</f>
        <v>0</v>
      </c>
      <c r="F12" s="4">
        <f>IFERROR(D12-E12,"")</f>
        <v>0</v>
      </c>
      <c r="G12" s="4">
        <f>B12/MAX($B$4:B12)-1</f>
        <v>0</v>
      </c>
    </row>
    <row r="13" spans="1:7">
      <c r="A13" s="3">
        <v>45884</v>
      </c>
      <c r="B13" s="8">
        <v>96.14471845470763</v>
      </c>
      <c r="C13" s="8">
        <v>98.09026461630185</v>
      </c>
      <c r="D13" s="4">
        <f>IFERROR((B13/B12)-1,"")</f>
        <v>0</v>
      </c>
      <c r="E13" s="4">
        <f>IFERROR((C13/C12)-1,"")</f>
        <v>0</v>
      </c>
      <c r="F13" s="4">
        <f>IFERROR(D13-E13,"")</f>
        <v>0</v>
      </c>
      <c r="G13" s="4">
        <f>B13/MAX($B$4:B13)-1</f>
        <v>0</v>
      </c>
    </row>
    <row r="14" spans="1:7">
      <c r="A14" s="3">
        <v>45887</v>
      </c>
      <c r="B14" s="8">
        <v>95.46966233466644</v>
      </c>
      <c r="C14" s="8">
        <v>97.28852346075983</v>
      </c>
      <c r="D14" s="4">
        <f>IFERROR((B14/B13)-1,"")</f>
        <v>0</v>
      </c>
      <c r="E14" s="4">
        <f>IFERROR((C14/C13)-1,"")</f>
        <v>0</v>
      </c>
      <c r="F14" s="4">
        <f>IFERROR(D14-E14,"")</f>
        <v>0</v>
      </c>
      <c r="G14" s="4">
        <f>B14/MAX($B$4:B14)-1</f>
        <v>0</v>
      </c>
    </row>
    <row r="15" spans="1:7">
      <c r="A15" s="3">
        <v>45888</v>
      </c>
      <c r="B15" s="8">
        <v>94.34848898174992</v>
      </c>
      <c r="C15" s="8">
        <v>95.46211461455312</v>
      </c>
      <c r="D15" s="4">
        <f>IFERROR((B15/B14)-1,"")</f>
        <v>0</v>
      </c>
      <c r="E15" s="4">
        <f>IFERROR((C15/C14)-1,"")</f>
        <v>0</v>
      </c>
      <c r="F15" s="4">
        <f>IFERROR(D15-E15,"")</f>
        <v>0</v>
      </c>
      <c r="G15" s="4">
        <f>B15/MAX($B$4:B15)-1</f>
        <v>0</v>
      </c>
    </row>
    <row r="16" spans="1:7">
      <c r="A16" s="3">
        <v>45889</v>
      </c>
      <c r="B16" s="8">
        <v>94.65871704322736</v>
      </c>
      <c r="C16" s="8">
        <v>95.68944385928768</v>
      </c>
      <c r="D16" s="4">
        <f>IFERROR((B16/B15)-1,"")</f>
        <v>0</v>
      </c>
      <c r="E16" s="4">
        <f>IFERROR((C16/C15)-1,"")</f>
        <v>0</v>
      </c>
      <c r="F16" s="4">
        <f>IFERROR(D16-E16,"")</f>
        <v>0</v>
      </c>
      <c r="G16" s="4">
        <f>B16/MAX($B$4:B16)-1</f>
        <v>0</v>
      </c>
    </row>
    <row r="17" spans="1:7">
      <c r="A17" s="3">
        <v>45890</v>
      </c>
      <c r="B17" s="8">
        <v>94.75241268364628</v>
      </c>
      <c r="C17" s="8">
        <v>96.12354769181434</v>
      </c>
      <c r="D17" s="4">
        <f>IFERROR((B17/B16)-1,"")</f>
        <v>0</v>
      </c>
      <c r="E17" s="4">
        <f>IFERROR((C17/C16)-1,"")</f>
        <v>0</v>
      </c>
      <c r="F17" s="4">
        <f>IFERROR(D17-E17,"")</f>
        <v>0</v>
      </c>
      <c r="G17" s="4">
        <f>B17/MAX($B$4:B17)-1</f>
        <v>0</v>
      </c>
    </row>
    <row r="18" spans="1:7">
      <c r="A18" s="3">
        <v>45891</v>
      </c>
      <c r="B18" s="8">
        <v>93.99148219770696</v>
      </c>
      <c r="C18" s="8">
        <v>95.67848956250181</v>
      </c>
      <c r="D18" s="4">
        <f>IFERROR((B18/B17)-1,"")</f>
        <v>0</v>
      </c>
      <c r="E18" s="4">
        <f>IFERROR((C18/C17)-1,"")</f>
        <v>0</v>
      </c>
      <c r="F18" s="4">
        <f>IFERROR(D18-E18,"")</f>
        <v>0</v>
      </c>
      <c r="G18" s="4">
        <f>B18/MAX($B$4:B18)-1</f>
        <v>0</v>
      </c>
    </row>
    <row r="19" spans="1:7">
      <c r="A19" s="3">
        <v>45894</v>
      </c>
      <c r="B19" s="8">
        <v>93.66998447635996</v>
      </c>
      <c r="C19" s="8">
        <v>95.36128374845042</v>
      </c>
      <c r="D19" s="4">
        <f>IFERROR((B19/B18)-1,"")</f>
        <v>0</v>
      </c>
      <c r="E19" s="4">
        <f>IFERROR((C19/C18)-1,"")</f>
        <v>0</v>
      </c>
      <c r="F19" s="4">
        <f>IFERROR(D19-E19,"")</f>
        <v>0</v>
      </c>
      <c r="G19" s="4">
        <f>B19/MAX($B$4:B19)-1</f>
        <v>0</v>
      </c>
    </row>
    <row r="20" spans="1:7">
      <c r="A20" s="3">
        <v>45895</v>
      </c>
      <c r="B20" s="8">
        <v>93.87835015013614</v>
      </c>
      <c r="C20" s="8">
        <v>96.12789299250315</v>
      </c>
      <c r="D20" s="4">
        <f>IFERROR((B20/B19)-1,"")</f>
        <v>0</v>
      </c>
      <c r="E20" s="4">
        <f>IFERROR((C20/C19)-1,"")</f>
        <v>0</v>
      </c>
      <c r="F20" s="4">
        <f>IFERROR(D20-E20,"")</f>
        <v>0</v>
      </c>
      <c r="G20" s="4">
        <f>B20/MAX($B$4:B20)-1</f>
        <v>0</v>
      </c>
    </row>
    <row r="21" spans="1:7">
      <c r="A21" s="3">
        <v>45896</v>
      </c>
      <c r="B21" s="8">
        <v>94.49433766154135</v>
      </c>
      <c r="C21" s="8">
        <v>97.14718365087165</v>
      </c>
      <c r="D21" s="4">
        <f>IFERROR((B21/B20)-1,"")</f>
        <v>0</v>
      </c>
      <c r="E21" s="4">
        <f>IFERROR((C21/C20)-1,"")</f>
        <v>0</v>
      </c>
      <c r="F21" s="4">
        <f>IFERROR(D21-E21,"")</f>
        <v>0</v>
      </c>
      <c r="G21" s="4">
        <f>B21/MAX($B$4:B21)-1</f>
        <v>0</v>
      </c>
    </row>
    <row r="22" spans="1:7">
      <c r="A22" s="3">
        <v>45897</v>
      </c>
      <c r="B22" s="8">
        <v>95.83039082145183</v>
      </c>
      <c r="C22" s="8">
        <v>98.32968546002813</v>
      </c>
      <c r="D22" s="4">
        <f>IFERROR((B22/B21)-1,"")</f>
        <v>0</v>
      </c>
      <c r="E22" s="4">
        <f>IFERROR((C22/C21)-1,"")</f>
        <v>0</v>
      </c>
      <c r="F22" s="4">
        <f>IFERROR(D22-E22,"")</f>
        <v>0</v>
      </c>
      <c r="G22" s="4">
        <f>B22/MAX($B$4:B22)-1</f>
        <v>0</v>
      </c>
    </row>
    <row r="23" spans="1:7">
      <c r="A23" s="3">
        <v>45898</v>
      </c>
      <c r="B23" s="8">
        <v>94.75731249185372</v>
      </c>
      <c r="C23" s="8">
        <v>96.92755592863612</v>
      </c>
      <c r="D23" s="4">
        <f>IFERROR((B23/B22)-1,"")</f>
        <v>0</v>
      </c>
      <c r="E23" s="4">
        <f>IFERROR((C23/C22)-1,"")</f>
        <v>0</v>
      </c>
      <c r="F23" s="4">
        <f>IFERROR(D23-E23,"")</f>
        <v>0</v>
      </c>
      <c r="G23" s="4">
        <f>B23/MAX($B$4:B23)-1</f>
        <v>0</v>
      </c>
    </row>
    <row r="24" spans="1:7">
      <c r="A24" s="3">
        <v>45901</v>
      </c>
      <c r="B24" s="8">
        <v>94.56814768633689</v>
      </c>
      <c r="C24" s="8">
        <v>96.70079238545178</v>
      </c>
      <c r="D24" s="4">
        <f>IFERROR((B24/B23)-1,"")</f>
        <v>0</v>
      </c>
      <c r="E24" s="4">
        <f>IFERROR((C24/C23)-1,"")</f>
        <v>0</v>
      </c>
      <c r="F24" s="4">
        <f>IFERROR(D24-E24,"")</f>
        <v>0</v>
      </c>
      <c r="G24" s="4">
        <f>B24/MAX($B$4:B24)-1</f>
        <v>0</v>
      </c>
    </row>
    <row r="25" spans="1:7">
      <c r="A25" s="3">
        <v>45902</v>
      </c>
      <c r="B25" s="8">
        <v>93.62554284011175</v>
      </c>
      <c r="C25" s="8">
        <v>96.0706730783712</v>
      </c>
      <c r="D25" s="4">
        <f>IFERROR((B25/B24)-1,"")</f>
        <v>0</v>
      </c>
      <c r="E25" s="4">
        <f>IFERROR((C25/C24)-1,"")</f>
        <v>0</v>
      </c>
      <c r="F25" s="4">
        <f>IFERROR(D25-E25,"")</f>
        <v>0</v>
      </c>
      <c r="G25" s="4">
        <f>B25/MAX($B$4:B25)-1</f>
        <v>0</v>
      </c>
    </row>
    <row r="26" spans="1:7">
      <c r="A26" s="3">
        <v>45903</v>
      </c>
      <c r="B26" s="8">
        <v>93.57607819575671</v>
      </c>
      <c r="C26" s="8">
        <v>96.0499716061005</v>
      </c>
      <c r="D26" s="4">
        <f>IFERROR((B26/B25)-1,"")</f>
        <v>0</v>
      </c>
      <c r="E26" s="4">
        <f>IFERROR((C26/C25)-1,"")</f>
        <v>0</v>
      </c>
      <c r="F26" s="4">
        <f>IFERROR(D26-E26,"")</f>
        <v>0</v>
      </c>
      <c r="G26" s="4">
        <f>B26/MAX($B$4:B26)-1</f>
        <v>0</v>
      </c>
    </row>
    <row r="27" spans="1:7">
      <c r="A27" s="3">
        <v>45904</v>
      </c>
      <c r="B27" s="8">
        <v>94.1085110753299</v>
      </c>
      <c r="C27" s="8">
        <v>96.8999634260649</v>
      </c>
      <c r="D27" s="4">
        <f>IFERROR((B27/B26)-1,"")</f>
        <v>0</v>
      </c>
      <c r="E27" s="4">
        <f>IFERROR((C27/C26)-1,"")</f>
        <v>0</v>
      </c>
      <c r="F27" s="4">
        <f>IFERROR(D27-E27,"")</f>
        <v>0</v>
      </c>
      <c r="G27" s="4">
        <f>B27/MAX($B$4:B27)-1</f>
        <v>0</v>
      </c>
    </row>
    <row r="28" spans="1:7">
      <c r="A28" s="3">
        <v>45905</v>
      </c>
      <c r="B28" s="8">
        <v>94.04431389159492</v>
      </c>
      <c r="C28" s="8">
        <v>97.02412827616418</v>
      </c>
      <c r="D28" s="4">
        <f>IFERROR((B28/B27)-1,"")</f>
        <v>0</v>
      </c>
      <c r="E28" s="4">
        <f>IFERROR((C28/C27)-1,"")</f>
        <v>0</v>
      </c>
      <c r="F28" s="4">
        <f>IFERROR(D28-E28,"")</f>
        <v>0</v>
      </c>
      <c r="G28" s="4">
        <f>B28/MAX($B$4:B28)-1</f>
        <v>0</v>
      </c>
    </row>
    <row r="29" spans="1:7">
      <c r="A29" s="3">
        <v>45908</v>
      </c>
      <c r="B29" s="8">
        <v>95.17890108830071</v>
      </c>
      <c r="C29" s="8">
        <v>98.96713893651156</v>
      </c>
      <c r="D29" s="4">
        <f>IFERROR((B29/B28)-1,"")</f>
        <v>0</v>
      </c>
      <c r="E29" s="4">
        <f>IFERROR((C29/C28)-1,"")</f>
        <v>0</v>
      </c>
      <c r="F29" s="4">
        <f>IFERROR(D29-E29,"")</f>
        <v>0</v>
      </c>
      <c r="G29" s="4">
        <f>B29/MAX($B$4:B29)-1</f>
        <v>0</v>
      </c>
    </row>
    <row r="30" spans="1:7">
      <c r="A30" s="3">
        <v>45909</v>
      </c>
      <c r="B30" s="8">
        <v>96.99386447239348</v>
      </c>
      <c r="C30" s="8">
        <v>100.2946456476302</v>
      </c>
      <c r="D30" s="4">
        <f>IFERROR((B30/B29)-1,"")</f>
        <v>0</v>
      </c>
      <c r="E30" s="4">
        <f>IFERROR((C30/C29)-1,"")</f>
        <v>0</v>
      </c>
      <c r="F30" s="4">
        <f>IFERROR(D30-E30,"")</f>
        <v>0</v>
      </c>
      <c r="G30" s="4">
        <f>B30/MAX($B$4:B30)-1</f>
        <v>0</v>
      </c>
    </row>
    <row r="31" spans="1:7">
      <c r="A31" s="3">
        <v>45910</v>
      </c>
      <c r="B31" s="8">
        <v>95.89144042577151</v>
      </c>
      <c r="C31" s="8">
        <v>98.77665717449476</v>
      </c>
      <c r="D31" s="4">
        <f>IFERROR((B31/B30)-1,"")</f>
        <v>0</v>
      </c>
      <c r="E31" s="4">
        <f>IFERROR((C31/C30)-1,"")</f>
        <v>0</v>
      </c>
      <c r="F31" s="4">
        <f>IFERROR(D31-E31,"")</f>
        <v>0</v>
      </c>
      <c r="G31" s="4">
        <f>B31/MAX($B$4:B31)-1</f>
        <v>0</v>
      </c>
    </row>
    <row r="32" spans="1:7">
      <c r="A32" s="3">
        <v>45911</v>
      </c>
      <c r="B32" s="8">
        <v>96.55093322610739</v>
      </c>
      <c r="C32" s="8">
        <v>99.34846973186147</v>
      </c>
      <c r="D32" s="4">
        <f>IFERROR((B32/B31)-1,"")</f>
        <v>0</v>
      </c>
      <c r="E32" s="4">
        <f>IFERROR((C32/C31)-1,"")</f>
        <v>0</v>
      </c>
      <c r="F32" s="4">
        <f>IFERROR(D32-E32,"")</f>
        <v>0</v>
      </c>
      <c r="G32" s="4">
        <f>B32/MAX($B$4:B32)-1</f>
        <v>0</v>
      </c>
    </row>
    <row r="33" spans="1:7">
      <c r="A33" s="3">
        <v>45912</v>
      </c>
      <c r="B33" s="8">
        <v>96.48860827718252</v>
      </c>
      <c r="C33" s="8">
        <v>99.11387188911274</v>
      </c>
      <c r="D33" s="4">
        <f>IFERROR((B33/B32)-1,"")</f>
        <v>0</v>
      </c>
      <c r="E33" s="4">
        <f>IFERROR((C33/C32)-1,"")</f>
        <v>0</v>
      </c>
      <c r="F33" s="4">
        <f>IFERROR(D33-E33,"")</f>
        <v>0</v>
      </c>
      <c r="G33" s="4">
        <f>B33/MAX($B$4:B33)-1</f>
        <v>0</v>
      </c>
    </row>
    <row r="34" spans="1:7">
      <c r="A34" s="3">
        <v>45915</v>
      </c>
      <c r="B34" s="8">
        <v>95.92829482167045</v>
      </c>
      <c r="C34" s="8">
        <v>98.89011649871586</v>
      </c>
      <c r="D34" s="4">
        <f>IFERROR((B34/B33)-1,"")</f>
        <v>0</v>
      </c>
      <c r="E34" s="4">
        <f>IFERROR((C34/C33)-1,"")</f>
        <v>0</v>
      </c>
      <c r="F34" s="4">
        <f>IFERROR(D34-E34,"")</f>
        <v>0</v>
      </c>
      <c r="G34" s="4">
        <f>B34/MAX($B$4:B34)-1</f>
        <v>0</v>
      </c>
    </row>
    <row r="35" spans="1:7">
      <c r="A35" s="3">
        <v>45916</v>
      </c>
      <c r="B35" s="8">
        <v>94.52033573110563</v>
      </c>
      <c r="C35" s="8">
        <v>96.96338150663493</v>
      </c>
      <c r="D35" s="4">
        <f>IFERROR((B35/B34)-1,"")</f>
        <v>0</v>
      </c>
      <c r="E35" s="4">
        <f>IFERROR((C35/C34)-1,"")</f>
        <v>0</v>
      </c>
      <c r="F35" s="4">
        <f>IFERROR(D35-E35,"")</f>
        <v>0</v>
      </c>
      <c r="G35" s="4">
        <f>B35/MAX($B$4:B35)-1</f>
        <v>0</v>
      </c>
    </row>
    <row r="36" spans="1:7">
      <c r="A36" s="3">
        <v>45917</v>
      </c>
      <c r="B36" s="8">
        <v>93.47650708391281</v>
      </c>
      <c r="C36" s="8">
        <v>95.76475081605547</v>
      </c>
      <c r="D36" s="4">
        <f>IFERROR((B36/B35)-1,"")</f>
        <v>0</v>
      </c>
      <c r="E36" s="4">
        <f>IFERROR((C36/C35)-1,"")</f>
        <v>0</v>
      </c>
      <c r="F36" s="4">
        <f>IFERROR(D36-E36,"")</f>
        <v>0</v>
      </c>
      <c r="G36" s="4">
        <f>B36/MAX($B$4:B36)-1</f>
        <v>0</v>
      </c>
    </row>
    <row r="37" spans="1:7">
      <c r="A37" s="3">
        <v>45918</v>
      </c>
      <c r="B37" s="8">
        <v>94.58718864846387</v>
      </c>
      <c r="C37" s="8">
        <v>97.80954600449149</v>
      </c>
      <c r="D37" s="4">
        <f>IFERROR((B37/B36)-1,"")</f>
        <v>0</v>
      </c>
      <c r="E37" s="4">
        <f>IFERROR((C37/C36)-1,"")</f>
        <v>0</v>
      </c>
      <c r="F37" s="4">
        <f>IFERROR(D37-E37,"")</f>
        <v>0</v>
      </c>
      <c r="G37" s="4">
        <f>B37/MAX($B$4:B37)-1</f>
        <v>0</v>
      </c>
    </row>
    <row r="38" spans="1:7">
      <c r="A38" s="3">
        <v>45919</v>
      </c>
      <c r="B38" s="8">
        <v>95.19620202099514</v>
      </c>
      <c r="C38" s="8">
        <v>98.31349594048379</v>
      </c>
      <c r="D38" s="4">
        <f>IFERROR((B38/B37)-1,"")</f>
        <v>0</v>
      </c>
      <c r="E38" s="4">
        <f>IFERROR((C38/C37)-1,"")</f>
        <v>0</v>
      </c>
      <c r="F38" s="4">
        <f>IFERROR(D38-E38,"")</f>
        <v>0</v>
      </c>
      <c r="G38" s="4">
        <f>B38/MAX($B$4:B38)-1</f>
        <v>0</v>
      </c>
    </row>
    <row r="39" spans="1:7">
      <c r="A39" s="3">
        <v>45922</v>
      </c>
      <c r="B39" s="8">
        <v>95.80763749751181</v>
      </c>
      <c r="C39" s="8">
        <v>98.82793096602268</v>
      </c>
      <c r="D39" s="4">
        <f>IFERROR((B39/B38)-1,"")</f>
        <v>0</v>
      </c>
      <c r="E39" s="4">
        <f>IFERROR((C39/C38)-1,"")</f>
        <v>0</v>
      </c>
      <c r="F39" s="4">
        <f>IFERROR(D39-E39,"")</f>
        <v>0</v>
      </c>
      <c r="G39" s="4">
        <f>B39/MAX($B$4:B39)-1</f>
        <v>0</v>
      </c>
    </row>
    <row r="40" spans="1:7">
      <c r="A40" s="3">
        <v>45923</v>
      </c>
      <c r="B40" s="8">
        <v>95.82305733581529</v>
      </c>
      <c r="C40" s="8">
        <v>99.07619877447749</v>
      </c>
      <c r="D40" s="4">
        <f>IFERROR((B40/B39)-1,"")</f>
        <v>0</v>
      </c>
      <c r="E40" s="4">
        <f>IFERROR((C40/C39)-1,"")</f>
        <v>0</v>
      </c>
      <c r="F40" s="4">
        <f>IFERROR(D40-E40,"")</f>
        <v>0</v>
      </c>
      <c r="G40" s="4">
        <f>B40/MAX($B$4:B40)-1</f>
        <v>0</v>
      </c>
    </row>
    <row r="41" spans="1:7">
      <c r="A41" s="3">
        <v>45924</v>
      </c>
      <c r="B41" s="8">
        <v>96.08670922515155</v>
      </c>
      <c r="C41" s="8">
        <v>99.01851124130121</v>
      </c>
      <c r="D41" s="4">
        <f>IFERROR((B41/B40)-1,"")</f>
        <v>0</v>
      </c>
      <c r="E41" s="4">
        <f>IFERROR((C41/C40)-1,"")</f>
        <v>0</v>
      </c>
      <c r="F41" s="4">
        <f>IFERROR(D41-E41,"")</f>
        <v>0</v>
      </c>
      <c r="G41" s="4">
        <f>B41/MAX($B$4:B41)-1</f>
        <v>0</v>
      </c>
    </row>
    <row r="42" spans="1:7">
      <c r="A42" s="3">
        <v>45925</v>
      </c>
      <c r="B42" s="8">
        <v>95.35478860264739</v>
      </c>
      <c r="C42" s="8">
        <v>97.88327582336102</v>
      </c>
      <c r="D42" s="4">
        <f>IFERROR((B42/B41)-1,"")</f>
        <v>0</v>
      </c>
      <c r="E42" s="4">
        <f>IFERROR((C42/C41)-1,"")</f>
        <v>0</v>
      </c>
      <c r="F42" s="4">
        <f>IFERROR(D42-E42,"")</f>
        <v>0</v>
      </c>
      <c r="G42" s="4">
        <f>B42/MAX($B$4:B42)-1</f>
        <v>0</v>
      </c>
    </row>
    <row r="43" spans="1:7">
      <c r="A43" s="3">
        <v>45926</v>
      </c>
      <c r="B43" s="8">
        <v>95.77098284857377</v>
      </c>
      <c r="C43" s="8">
        <v>98.67085214049693</v>
      </c>
      <c r="D43" s="4">
        <f>IFERROR((B43/B42)-1,"")</f>
        <v>0</v>
      </c>
      <c r="E43" s="4">
        <f>IFERROR((C43/C42)-1,"")</f>
        <v>0</v>
      </c>
      <c r="F43" s="4">
        <f>IFERROR(D43-E43,"")</f>
        <v>0</v>
      </c>
      <c r="G43" s="4">
        <f>B43/MAX($B$4:B43)-1</f>
        <v>0</v>
      </c>
    </row>
    <row r="44" spans="1:7">
      <c r="A44" s="3">
        <v>45929</v>
      </c>
      <c r="B44" s="8">
        <v>95.66269431615954</v>
      </c>
      <c r="C44" s="8">
        <v>98.47799904967587</v>
      </c>
      <c r="D44" s="4">
        <f>IFERROR((B44/B43)-1,"")</f>
        <v>0</v>
      </c>
      <c r="E44" s="4">
        <f>IFERROR((C44/C43)-1,"")</f>
        <v>0</v>
      </c>
      <c r="F44" s="4">
        <f>IFERROR(D44-E44,"")</f>
        <v>0</v>
      </c>
      <c r="G44" s="4">
        <f>B44/MAX($B$4:B44)-1</f>
        <v>0</v>
      </c>
    </row>
    <row r="45" spans="1:7">
      <c r="A45" s="3">
        <v>45930</v>
      </c>
      <c r="B45" s="8">
        <v>95.92775469117242</v>
      </c>
      <c r="C45" s="8">
        <v>99.08378143208463</v>
      </c>
      <c r="D45" s="4">
        <f>IFERROR((B45/B44)-1,"")</f>
        <v>0</v>
      </c>
      <c r="E45" s="4">
        <f>IFERROR((C45/C44)-1,"")</f>
        <v>0</v>
      </c>
      <c r="F45" s="4">
        <f>IFERROR(D45-E45,"")</f>
        <v>0</v>
      </c>
      <c r="G45" s="4">
        <f>B45/MAX($B$4:B45)-1</f>
        <v>0</v>
      </c>
    </row>
    <row r="46" spans="1:7">
      <c r="A46" s="3">
        <v>45931</v>
      </c>
      <c r="B46" s="8">
        <v>95.67618884263949</v>
      </c>
      <c r="C46" s="8">
        <v>98.89875269901982</v>
      </c>
      <c r="D46" s="4">
        <f>IFERROR((B46/B45)-1,"")</f>
        <v>0</v>
      </c>
      <c r="E46" s="4">
        <f>IFERROR((C46/C45)-1,"")</f>
        <v>0</v>
      </c>
      <c r="F46" s="4">
        <f>IFERROR(D46-E46,"")</f>
        <v>0</v>
      </c>
      <c r="G46" s="4">
        <f>B46/MAX($B$4:B46)-1</f>
        <v>0</v>
      </c>
    </row>
    <row r="47" spans="1:7">
      <c r="A47" s="3">
        <v>45932</v>
      </c>
      <c r="B47" s="8">
        <v>96.18324636710982</v>
      </c>
      <c r="C47" s="8">
        <v>99.68563929563886</v>
      </c>
      <c r="D47" s="4">
        <f>IFERROR((B47/B46)-1,"")</f>
        <v>0</v>
      </c>
      <c r="E47" s="4">
        <f>IFERROR((C47/C46)-1,"")</f>
        <v>0</v>
      </c>
      <c r="F47" s="4">
        <f>IFERROR(D47-E47,"")</f>
        <v>0</v>
      </c>
      <c r="G47" s="4">
        <f>B47/MAX($B$4:B47)-1</f>
        <v>0</v>
      </c>
    </row>
    <row r="48" spans="1:7">
      <c r="A48" s="3">
        <v>45933</v>
      </c>
      <c r="B48" s="8">
        <v>97.51677973784892</v>
      </c>
      <c r="C48" s="8">
        <v>100.7836030295772</v>
      </c>
      <c r="D48" s="4">
        <f>IFERROR((B48/B47)-1,"")</f>
        <v>0</v>
      </c>
      <c r="E48" s="4">
        <f>IFERROR((C48/C47)-1,"")</f>
        <v>0</v>
      </c>
      <c r="F48" s="4">
        <f>IFERROR(D48-E48,"")</f>
        <v>0</v>
      </c>
      <c r="G48" s="4">
        <f>B48/MAX($B$4:B48)-1</f>
        <v>0</v>
      </c>
    </row>
    <row r="49" spans="1:7">
      <c r="A49" s="3">
        <v>45936</v>
      </c>
      <c r="B49" s="8">
        <v>96.95039008265428</v>
      </c>
      <c r="C49" s="8">
        <v>99.80016981006953</v>
      </c>
      <c r="D49" s="4">
        <f>IFERROR((B49/B48)-1,"")</f>
        <v>0</v>
      </c>
      <c r="E49" s="4">
        <f>IFERROR((C49/C48)-1,"")</f>
        <v>0</v>
      </c>
      <c r="F49" s="4">
        <f>IFERROR(D49-E49,"")</f>
        <v>0</v>
      </c>
      <c r="G49" s="4">
        <f>B49/MAX($B$4:B49)-1</f>
        <v>0</v>
      </c>
    </row>
    <row r="50" spans="1:7">
      <c r="A50" s="3">
        <v>45937</v>
      </c>
      <c r="B50" s="8">
        <v>96.54067054510456</v>
      </c>
      <c r="C50" s="8">
        <v>99.59579927157264</v>
      </c>
      <c r="D50" s="4">
        <f>IFERROR((B50/B49)-1,"")</f>
        <v>0</v>
      </c>
      <c r="E50" s="4">
        <f>IFERROR((C50/C49)-1,"")</f>
        <v>0</v>
      </c>
      <c r="F50" s="4">
        <f>IFERROR(D50-E50,"")</f>
        <v>0</v>
      </c>
      <c r="G50" s="4">
        <f>B50/MAX($B$4:B50)-1</f>
        <v>0</v>
      </c>
    </row>
    <row r="51" spans="1:7">
      <c r="A51" s="3">
        <v>45938</v>
      </c>
      <c r="B51" s="8">
        <v>97.3292837432936</v>
      </c>
      <c r="C51" s="8">
        <v>100.6312707487205</v>
      </c>
      <c r="D51" s="4">
        <f>IFERROR((B51/B50)-1,"")</f>
        <v>0</v>
      </c>
      <c r="E51" s="4">
        <f>IFERROR((C51/C50)-1,"")</f>
        <v>0</v>
      </c>
      <c r="F51" s="4">
        <f>IFERROR(D51-E51,"")</f>
        <v>0</v>
      </c>
      <c r="G51" s="4">
        <f>B51/MAX($B$4:B51)-1</f>
        <v>0</v>
      </c>
    </row>
    <row r="52" spans="1:7">
      <c r="A52" s="3">
        <v>45939</v>
      </c>
      <c r="B52" s="8">
        <v>97.40461222611412</v>
      </c>
      <c r="C52" s="8">
        <v>100.412282895879</v>
      </c>
      <c r="D52" s="4">
        <f>IFERROR((B52/B51)-1,"")</f>
        <v>0</v>
      </c>
      <c r="E52" s="4">
        <f>IFERROR((C52/C51)-1,"")</f>
        <v>0</v>
      </c>
      <c r="F52" s="4">
        <f>IFERROR(D52-E52,"")</f>
        <v>0</v>
      </c>
      <c r="G52" s="4">
        <f>B52/MAX($B$4:B52)-1</f>
        <v>0</v>
      </c>
    </row>
    <row r="53" spans="1:7">
      <c r="A53" s="3">
        <v>45940</v>
      </c>
      <c r="B53" s="8">
        <v>97.32712977181588</v>
      </c>
      <c r="C53" s="8">
        <v>100.6900880683657</v>
      </c>
      <c r="D53" s="4">
        <f>IFERROR((B53/B52)-1,"")</f>
        <v>0</v>
      </c>
      <c r="E53" s="4">
        <f>IFERROR((C53/C52)-1,"")</f>
        <v>0</v>
      </c>
      <c r="F53" s="4">
        <f>IFERROR(D53-E53,"")</f>
        <v>0</v>
      </c>
      <c r="G53" s="4">
        <f>B53/MAX($B$4:B53)-1</f>
        <v>0</v>
      </c>
    </row>
    <row r="54" spans="1:7">
      <c r="A54" s="3">
        <v>45943</v>
      </c>
      <c r="B54" s="8">
        <v>96.93789251572049</v>
      </c>
      <c r="C54" s="8">
        <v>99.78120596410108</v>
      </c>
      <c r="D54" s="4">
        <f>IFERROR((B54/B53)-1,"")</f>
        <v>0</v>
      </c>
      <c r="E54" s="4">
        <f>IFERROR((C54/C53)-1,"")</f>
        <v>0</v>
      </c>
      <c r="F54" s="4">
        <f>IFERROR(D54-E54,"")</f>
        <v>0</v>
      </c>
      <c r="G54" s="4">
        <f>B54/MAX($B$4:B54)-1</f>
        <v>0</v>
      </c>
    </row>
    <row r="55" spans="1:7">
      <c r="A55" s="3">
        <v>45944</v>
      </c>
      <c r="B55" s="8">
        <v>96.61276183077204</v>
      </c>
      <c r="C55" s="8">
        <v>99.39876747863944</v>
      </c>
      <c r="D55" s="4">
        <f>IFERROR((B55/B54)-1,"")</f>
        <v>0</v>
      </c>
      <c r="E55" s="4">
        <f>IFERROR((C55/C54)-1,"")</f>
        <v>0</v>
      </c>
      <c r="F55" s="4">
        <f>IFERROR(D55-E55,"")</f>
        <v>0</v>
      </c>
      <c r="G55" s="4">
        <f>B55/MAX($B$4:B55)-1</f>
        <v>0</v>
      </c>
    </row>
    <row r="56" spans="1:7">
      <c r="A56" s="3">
        <v>45945</v>
      </c>
      <c r="B56" s="8">
        <v>97.3322842184246</v>
      </c>
      <c r="C56" s="8">
        <v>100.6044533297201</v>
      </c>
      <c r="D56" s="4">
        <f>IFERROR((B56/B55)-1,"")</f>
        <v>0</v>
      </c>
      <c r="E56" s="4">
        <f>IFERROR((C56/C55)-1,"")</f>
        <v>0</v>
      </c>
      <c r="F56" s="4">
        <f>IFERROR(D56-E56,"")</f>
        <v>0</v>
      </c>
      <c r="G56" s="4">
        <f>B56/MAX($B$4:B56)-1</f>
        <v>0</v>
      </c>
    </row>
    <row r="57" spans="1:7">
      <c r="A57" s="3">
        <v>45946</v>
      </c>
      <c r="B57" s="8">
        <v>98.56238947248201</v>
      </c>
      <c r="C57" s="8">
        <v>101.7198793046288</v>
      </c>
      <c r="D57" s="4">
        <f>IFERROR((B57/B56)-1,"")</f>
        <v>0</v>
      </c>
      <c r="E57" s="4">
        <f>IFERROR((C57/C56)-1,"")</f>
        <v>0</v>
      </c>
      <c r="F57" s="4">
        <f>IFERROR(D57-E57,"")</f>
        <v>0</v>
      </c>
      <c r="G57" s="4">
        <f>B57/MAX($B$4:B57)-1</f>
        <v>0</v>
      </c>
    </row>
    <row r="58" spans="1:7">
      <c r="A58" s="3">
        <v>45947</v>
      </c>
      <c r="B58" s="8">
        <v>98.41688014379291</v>
      </c>
      <c r="C58" s="8">
        <v>101.6120644108701</v>
      </c>
      <c r="D58" s="4">
        <f>IFERROR((B58/B57)-1,"")</f>
        <v>0</v>
      </c>
      <c r="E58" s="4">
        <f>IFERROR((C58/C57)-1,"")</f>
        <v>0</v>
      </c>
      <c r="F58" s="4">
        <f>IFERROR(D58-E58,"")</f>
        <v>0</v>
      </c>
      <c r="G58" s="4">
        <f>B58/MAX($B$4:B58)-1</f>
        <v>0</v>
      </c>
    </row>
    <row r="59" spans="1:7">
      <c r="A59" s="3">
        <v>45950</v>
      </c>
      <c r="B59" s="8">
        <v>98.32796963131599</v>
      </c>
      <c r="C59" s="8">
        <v>101.5038823381277</v>
      </c>
      <c r="D59" s="4">
        <f>IFERROR((B59/B58)-1,"")</f>
        <v>0</v>
      </c>
      <c r="E59" s="4">
        <f>IFERROR((C59/C58)-1,"")</f>
        <v>0</v>
      </c>
      <c r="F59" s="4">
        <f>IFERROR(D59-E59,"")</f>
        <v>0</v>
      </c>
      <c r="G59" s="4">
        <f>B59/MAX($B$4:B59)-1</f>
        <v>0</v>
      </c>
    </row>
    <row r="60" spans="1:7">
      <c r="A60" s="3">
        <v>45951</v>
      </c>
      <c r="B60" s="8">
        <v>96.34037908288886</v>
      </c>
      <c r="C60" s="8">
        <v>99.3148920613628</v>
      </c>
      <c r="D60" s="4">
        <f>IFERROR((B60/B59)-1,"")</f>
        <v>0</v>
      </c>
      <c r="E60" s="4">
        <f>IFERROR((C60/C59)-1,"")</f>
        <v>0</v>
      </c>
      <c r="F60" s="4">
        <f>IFERROR(D60-E60,"")</f>
        <v>0</v>
      </c>
      <c r="G60" s="4">
        <f>B60/MAX($B$4:B60)-1</f>
        <v>0</v>
      </c>
    </row>
    <row r="61" spans="1:7">
      <c r="A61" s="3">
        <v>45952</v>
      </c>
      <c r="B61" s="8">
        <v>95.51205911351755</v>
      </c>
      <c r="C61" s="8">
        <v>98.42726925510404</v>
      </c>
      <c r="D61" s="4">
        <f>IFERROR((B61/B60)-1,"")</f>
        <v>0</v>
      </c>
      <c r="E61" s="4">
        <f>IFERROR((C61/C60)-1,"")</f>
        <v>0</v>
      </c>
      <c r="F61" s="4">
        <f>IFERROR(D61-E61,"")</f>
        <v>0</v>
      </c>
      <c r="G61" s="4">
        <f>B61/MAX($B$4:B61)-1</f>
        <v>0</v>
      </c>
    </row>
    <row r="62" spans="1:7">
      <c r="A62" s="3">
        <v>45953</v>
      </c>
      <c r="B62" s="8">
        <v>94.80267582105719</v>
      </c>
      <c r="C62" s="8">
        <v>97.74025342684692</v>
      </c>
      <c r="D62" s="4">
        <f>IFERROR((B62/B61)-1,"")</f>
        <v>0</v>
      </c>
      <c r="E62" s="4">
        <f>IFERROR((C62/C61)-1,"")</f>
        <v>0</v>
      </c>
      <c r="F62" s="4">
        <f>IFERROR(D62-E62,"")</f>
        <v>0</v>
      </c>
      <c r="G62" s="4">
        <f>B62/MAX($B$4:B62)-1</f>
        <v>0</v>
      </c>
    </row>
    <row r="63" spans="1:7">
      <c r="A63" s="3">
        <v>45954</v>
      </c>
      <c r="B63" s="8">
        <v>95.19898870664849</v>
      </c>
      <c r="C63" s="8">
        <v>98.73676476610352</v>
      </c>
      <c r="D63" s="4">
        <f>IFERROR((B63/B62)-1,"")</f>
        <v>0</v>
      </c>
      <c r="E63" s="4">
        <f>IFERROR((C63/C62)-1,"")</f>
        <v>0</v>
      </c>
      <c r="F63" s="4">
        <f>IFERROR(D63-E63,"")</f>
        <v>0</v>
      </c>
      <c r="G63" s="4">
        <f>B63/MAX($B$4:B63)-1</f>
        <v>0</v>
      </c>
    </row>
    <row r="64" spans="1:7">
      <c r="A64" s="3">
        <v>45957</v>
      </c>
      <c r="B64" s="8">
        <v>96.52276851911171</v>
      </c>
      <c r="C64" s="8">
        <v>99.85678490918947</v>
      </c>
      <c r="D64" s="4">
        <f>IFERROR((B64/B63)-1,"")</f>
        <v>0</v>
      </c>
      <c r="E64" s="4">
        <f>IFERROR((C64/C63)-1,"")</f>
        <v>0</v>
      </c>
      <c r="F64" s="4">
        <f>IFERROR(D64-E64,"")</f>
        <v>0</v>
      </c>
      <c r="G64" s="4">
        <f>B64/MAX($B$4:B64)-1</f>
        <v>0</v>
      </c>
    </row>
    <row r="65" spans="1:7">
      <c r="A65" s="3">
        <v>45958</v>
      </c>
      <c r="B65" s="8">
        <v>96.69707458369102</v>
      </c>
      <c r="C65" s="8">
        <v>100.4098516845303</v>
      </c>
      <c r="D65" s="4">
        <f>IFERROR((B65/B64)-1,"")</f>
        <v>0</v>
      </c>
      <c r="E65" s="4">
        <f>IFERROR((C65/C64)-1,"")</f>
        <v>0</v>
      </c>
      <c r="F65" s="4">
        <f>IFERROR(D65-E65,"")</f>
        <v>0</v>
      </c>
      <c r="G65" s="4">
        <f>B65/MAX($B$4:B65)-1</f>
        <v>0</v>
      </c>
    </row>
    <row r="66" spans="1:7">
      <c r="A66" s="3">
        <v>45959</v>
      </c>
      <c r="B66" s="8">
        <v>95.81003156209606</v>
      </c>
      <c r="C66" s="8">
        <v>99.59274023438549</v>
      </c>
      <c r="D66" s="4">
        <f>IFERROR((B66/B65)-1,"")</f>
        <v>0</v>
      </c>
      <c r="E66" s="4">
        <f>IFERROR((C66/C65)-1,"")</f>
        <v>0</v>
      </c>
      <c r="F66" s="4">
        <f>IFERROR(D66-E66,"")</f>
        <v>0</v>
      </c>
      <c r="G66" s="4">
        <f>B66/MAX($B$4:B66)-1</f>
        <v>0</v>
      </c>
    </row>
    <row r="67" spans="1:7">
      <c r="A67" s="3">
        <v>45960</v>
      </c>
      <c r="B67" s="8">
        <v>97.12918541986042</v>
      </c>
      <c r="C67" s="8">
        <v>100.880031038827</v>
      </c>
      <c r="D67" s="4">
        <f>IFERROR((B67/B66)-1,"")</f>
        <v>0</v>
      </c>
      <c r="E67" s="4">
        <f>IFERROR((C67/C66)-1,"")</f>
        <v>0</v>
      </c>
      <c r="F67" s="4">
        <f>IFERROR(D67-E67,"")</f>
        <v>0</v>
      </c>
      <c r="G67" s="4">
        <f>B67/MAX($B$4:B67)-1</f>
        <v>0</v>
      </c>
    </row>
    <row r="68" spans="1:7">
      <c r="A68" s="3">
        <v>45961</v>
      </c>
      <c r="B68" s="8">
        <v>95.89975295516493</v>
      </c>
      <c r="C68" s="8">
        <v>99.36068531334925</v>
      </c>
      <c r="D68" s="4">
        <f>IFERROR((B68/B67)-1,"")</f>
        <v>0</v>
      </c>
      <c r="E68" s="4">
        <f>IFERROR((C68/C67)-1,"")</f>
        <v>0</v>
      </c>
      <c r="F68" s="4">
        <f>IFERROR(D68-E68,"")</f>
        <v>0</v>
      </c>
      <c r="G68" s="4">
        <f>B68/MAX($B$4:B68)-1</f>
        <v>0</v>
      </c>
    </row>
    <row r="69" spans="1:7">
      <c r="A69" s="3">
        <v>45964</v>
      </c>
      <c r="B69" s="8">
        <v>95.44842288436463</v>
      </c>
      <c r="C69" s="8">
        <v>98.92132745889785</v>
      </c>
      <c r="D69" s="4">
        <f>IFERROR((B69/B68)-1,"")</f>
        <v>0</v>
      </c>
      <c r="E69" s="4">
        <f>IFERROR((C69/C68)-1,"")</f>
        <v>0</v>
      </c>
      <c r="F69" s="4">
        <f>IFERROR(D69-E69,"")</f>
        <v>0</v>
      </c>
      <c r="G69" s="4">
        <f>B69/MAX($B$4:B69)-1</f>
        <v>0</v>
      </c>
    </row>
    <row r="70" spans="1:7">
      <c r="A70" s="3">
        <v>45965</v>
      </c>
      <c r="B70" s="8">
        <v>95.58457768685311</v>
      </c>
      <c r="C70" s="8">
        <v>99.08973931045712</v>
      </c>
      <c r="D70" s="4">
        <f>IFERROR((B70/B69)-1,"")</f>
        <v>0</v>
      </c>
      <c r="E70" s="4">
        <f>IFERROR((C70/C69)-1,"")</f>
        <v>0</v>
      </c>
      <c r="F70" s="4">
        <f>IFERROR(D70-E70,"")</f>
        <v>0</v>
      </c>
      <c r="G70" s="4">
        <f>B70/MAX($B$4:B70)-1</f>
        <v>0</v>
      </c>
    </row>
    <row r="71" spans="1:7">
      <c r="A71" s="3">
        <v>45966</v>
      </c>
      <c r="B71" s="8">
        <v>96.10894300052666</v>
      </c>
      <c r="C71" s="8">
        <v>99.77974478142433</v>
      </c>
      <c r="D71" s="4">
        <f>IFERROR((B71/B70)-1,"")</f>
        <v>0</v>
      </c>
      <c r="E71" s="4">
        <f>IFERROR((C71/C70)-1,"")</f>
        <v>0</v>
      </c>
      <c r="F71" s="4">
        <f>IFERROR(D71-E71,"")</f>
        <v>0</v>
      </c>
      <c r="G71" s="4">
        <f>B71/MAX($B$4:B71)-1</f>
        <v>0</v>
      </c>
    </row>
    <row r="72" spans="1:7">
      <c r="A72" s="3">
        <v>45967</v>
      </c>
      <c r="B72" s="8">
        <v>98.55276743016456</v>
      </c>
      <c r="C72" s="8">
        <v>102.8421084383796</v>
      </c>
      <c r="D72" s="4">
        <f>IFERROR((B72/B71)-1,"")</f>
        <v>0</v>
      </c>
      <c r="E72" s="4">
        <f>IFERROR((C72/C71)-1,"")</f>
        <v>0</v>
      </c>
      <c r="F72" s="4">
        <f>IFERROR(D72-E72,"")</f>
        <v>0</v>
      </c>
      <c r="G72" s="4">
        <f>B72/MAX($B$4:B72)-1</f>
        <v>0</v>
      </c>
    </row>
    <row r="73" spans="1:7">
      <c r="A73" s="3">
        <v>45968</v>
      </c>
      <c r="B73" s="8">
        <v>98.71231745540967</v>
      </c>
      <c r="C73" s="8">
        <v>102.8740150658804</v>
      </c>
      <c r="D73" s="4">
        <f>IFERROR((B73/B72)-1,"")</f>
        <v>0</v>
      </c>
      <c r="E73" s="4">
        <f>IFERROR((C73/C72)-1,"")</f>
        <v>0</v>
      </c>
      <c r="F73" s="4">
        <f>IFERROR(D73-E73,"")</f>
        <v>0</v>
      </c>
      <c r="G73" s="4">
        <f>B73/MAX($B$4:B73)-1</f>
        <v>0</v>
      </c>
    </row>
    <row r="74" spans="1:7">
      <c r="A74" s="3">
        <v>45971</v>
      </c>
      <c r="B74" s="8">
        <v>99.19684750416089</v>
      </c>
      <c r="C74" s="8">
        <v>104.0207635772835</v>
      </c>
      <c r="D74" s="4">
        <f>IFERROR((B74/B73)-1,"")</f>
        <v>0</v>
      </c>
      <c r="E74" s="4">
        <f>IFERROR((C74/C73)-1,"")</f>
        <v>0</v>
      </c>
      <c r="F74" s="4">
        <f>IFERROR(D74-E74,"")</f>
        <v>0</v>
      </c>
      <c r="G74" s="4">
        <f>B74/MAX($B$4:B74)-1</f>
        <v>0</v>
      </c>
    </row>
    <row r="75" spans="1:7">
      <c r="A75" s="3">
        <v>45972</v>
      </c>
      <c r="B75" s="8">
        <v>100.1596464228112</v>
      </c>
      <c r="C75" s="8">
        <v>104.8370506795061</v>
      </c>
      <c r="D75" s="4">
        <f>IFERROR((B75/B74)-1,"")</f>
        <v>0</v>
      </c>
      <c r="E75" s="4">
        <f>IFERROR((C75/C74)-1,"")</f>
        <v>0</v>
      </c>
      <c r="F75" s="4">
        <f>IFERROR(D75-E75,"")</f>
        <v>0</v>
      </c>
      <c r="G75" s="4">
        <f>B75/MAX($B$4:B75)-1</f>
        <v>0</v>
      </c>
    </row>
    <row r="76" spans="1:7">
      <c r="A76" s="3">
        <v>45973</v>
      </c>
      <c r="B76" s="8">
        <v>101.4808374183285</v>
      </c>
      <c r="C76" s="8">
        <v>106.8706086651887</v>
      </c>
      <c r="D76" s="4">
        <f>IFERROR((B76/B75)-1,"")</f>
        <v>0</v>
      </c>
      <c r="E76" s="4">
        <f>IFERROR((C76/C75)-1,"")</f>
        <v>0</v>
      </c>
      <c r="F76" s="4">
        <f>IFERROR(D76-E76,"")</f>
        <v>0</v>
      </c>
      <c r="G76" s="4">
        <f>B76/MAX($B$4:B76)-1</f>
        <v>0</v>
      </c>
    </row>
    <row r="77" spans="1:7">
      <c r="A77" s="3">
        <v>45974</v>
      </c>
      <c r="B77" s="8">
        <v>100.8433357223372</v>
      </c>
      <c r="C77" s="8">
        <v>106.5605461143698</v>
      </c>
      <c r="D77" s="4">
        <f>IFERROR((B77/B76)-1,"")</f>
        <v>0</v>
      </c>
      <c r="E77" s="4">
        <f>IFERROR((C77/C76)-1,"")</f>
        <v>0</v>
      </c>
      <c r="F77" s="4">
        <f>IFERROR(D77-E77,"")</f>
        <v>0</v>
      </c>
      <c r="G77" s="4">
        <f>B77/MAX($B$4:B77)-1</f>
        <v>0</v>
      </c>
    </row>
    <row r="78" spans="1:7">
      <c r="A78" s="3">
        <v>45975</v>
      </c>
      <c r="B78" s="8">
        <v>100.8449578032556</v>
      </c>
      <c r="C78" s="8">
        <v>106.4412933154614</v>
      </c>
      <c r="D78" s="4">
        <f>IFERROR((B78/B77)-1,"")</f>
        <v>0</v>
      </c>
      <c r="E78" s="4">
        <f>IFERROR((C78/C77)-1,"")</f>
        <v>0</v>
      </c>
      <c r="F78" s="4">
        <f>IFERROR(D78-E78,"")</f>
        <v>0</v>
      </c>
      <c r="G78" s="4">
        <f>B78/MAX($B$4:B78)-1</f>
        <v>0</v>
      </c>
    </row>
    <row r="79" spans="1:7">
      <c r="A79" s="3">
        <v>45978</v>
      </c>
      <c r="B79" s="8">
        <v>99.84740359863224</v>
      </c>
      <c r="C79" s="8">
        <v>104.8958774728634</v>
      </c>
      <c r="D79" s="4">
        <f>IFERROR((B79/B78)-1,"")</f>
        <v>0</v>
      </c>
      <c r="E79" s="4">
        <f>IFERROR((C79/C78)-1,"")</f>
        <v>0</v>
      </c>
      <c r="F79" s="4">
        <f>IFERROR(D79-E79,"")</f>
        <v>0</v>
      </c>
      <c r="G79" s="4">
        <f>B79/MAX($B$4:B79)-1</f>
        <v>0</v>
      </c>
    </row>
    <row r="80" spans="1:7">
      <c r="A80" s="3">
        <v>45979</v>
      </c>
      <c r="B80" s="8">
        <v>98.71737345720662</v>
      </c>
      <c r="C80" s="8">
        <v>103.0741094682793</v>
      </c>
      <c r="D80" s="4">
        <f>IFERROR((B80/B79)-1,"")</f>
        <v>0</v>
      </c>
      <c r="E80" s="4">
        <f>IFERROR((C80/C79)-1,"")</f>
        <v>0</v>
      </c>
      <c r="F80" s="4">
        <f>IFERROR(D80-E80,"")</f>
        <v>0</v>
      </c>
      <c r="G80" s="4">
        <f>B80/MAX($B$4:B80)-1</f>
        <v>0</v>
      </c>
    </row>
    <row r="81" spans="1:7">
      <c r="A81" s="3">
        <v>45980</v>
      </c>
      <c r="B81" s="8">
        <v>97.55620925393555</v>
      </c>
      <c r="C81" s="8">
        <v>101.9444566622462</v>
      </c>
      <c r="D81" s="4">
        <f>IFERROR((B81/B80)-1,"")</f>
        <v>0</v>
      </c>
      <c r="E81" s="4">
        <f>IFERROR((C81/C80)-1,"")</f>
        <v>0</v>
      </c>
      <c r="F81" s="4">
        <f>IFERROR(D81-E81,"")</f>
        <v>0</v>
      </c>
      <c r="G81" s="4">
        <f>B81/MAX($B$4:B81)-1</f>
        <v>0</v>
      </c>
    </row>
    <row r="82" spans="1:7">
      <c r="A82" s="3">
        <v>45981</v>
      </c>
      <c r="B82" s="8">
        <v>97.16739681694978</v>
      </c>
      <c r="C82" s="8">
        <v>101.0028122186136</v>
      </c>
      <c r="D82" s="4">
        <f>IFERROR((B82/B81)-1,"")</f>
        <v>0</v>
      </c>
      <c r="E82" s="4">
        <f>IFERROR((C82/C81)-1,"")</f>
        <v>0</v>
      </c>
      <c r="F82" s="4">
        <f>IFERROR(D82-E82,"")</f>
        <v>0</v>
      </c>
      <c r="G82" s="4">
        <f>B82/MAX($B$4:B82)-1</f>
        <v>0</v>
      </c>
    </row>
    <row r="83" spans="1:7">
      <c r="A83" s="3">
        <v>45982</v>
      </c>
      <c r="B83" s="8">
        <v>96.88023464018897</v>
      </c>
      <c r="C83" s="8">
        <v>100.6733653146661</v>
      </c>
      <c r="D83" s="4">
        <f>IFERROR((B83/B82)-1,"")</f>
        <v>0</v>
      </c>
      <c r="E83" s="4">
        <f>IFERROR((C83/C82)-1,"")</f>
        <v>0</v>
      </c>
      <c r="F83" s="4">
        <f>IFERROR(D83-E83,"")</f>
        <v>0</v>
      </c>
      <c r="G83" s="4">
        <f>B83/MAX($B$4:B83)-1</f>
        <v>0</v>
      </c>
    </row>
    <row r="84" spans="1:7">
      <c r="A84" s="3">
        <v>45985</v>
      </c>
      <c r="B84" s="8">
        <v>96.21661217204415</v>
      </c>
      <c r="C84" s="8">
        <v>99.53712050505753</v>
      </c>
      <c r="D84" s="4">
        <f>IFERROR((B84/B83)-1,"")</f>
        <v>0</v>
      </c>
      <c r="E84" s="4">
        <f>IFERROR((C84/C83)-1,"")</f>
        <v>0</v>
      </c>
      <c r="F84" s="4">
        <f>IFERROR(D84-E84,"")</f>
        <v>0</v>
      </c>
      <c r="G84" s="4">
        <f>B84/MAX($B$4:B84)-1</f>
        <v>0</v>
      </c>
    </row>
    <row r="85" spans="1:7">
      <c r="A85" s="3">
        <v>45986</v>
      </c>
      <c r="B85" s="8">
        <v>97.06869682067817</v>
      </c>
      <c r="C85" s="8">
        <v>101.0760860715428</v>
      </c>
      <c r="D85" s="4">
        <f>IFERROR((B85/B84)-1,"")</f>
        <v>0</v>
      </c>
      <c r="E85" s="4">
        <f>IFERROR((C85/C84)-1,"")</f>
        <v>0</v>
      </c>
      <c r="F85" s="4">
        <f>IFERROR(D85-E85,"")</f>
        <v>0</v>
      </c>
      <c r="G85" s="4">
        <f>B85/MAX($B$4:B85)-1</f>
        <v>0</v>
      </c>
    </row>
    <row r="86" spans="1:7">
      <c r="A86" s="3">
        <v>45987</v>
      </c>
      <c r="B86" s="8">
        <v>97.20826452796018</v>
      </c>
      <c r="C86" s="8">
        <v>101.0671191514166</v>
      </c>
      <c r="D86" s="4">
        <f>IFERROR((B86/B85)-1,"")</f>
        <v>0</v>
      </c>
      <c r="E86" s="4">
        <f>IFERROR((C86/C85)-1,"")</f>
        <v>0</v>
      </c>
      <c r="F86" s="4">
        <f>IFERROR(D86-E86,"")</f>
        <v>0</v>
      </c>
      <c r="G86" s="4">
        <f>B86/MAX($B$4:B86)-1</f>
        <v>0</v>
      </c>
    </row>
    <row r="87" spans="1:7">
      <c r="A87" s="3">
        <v>45988</v>
      </c>
      <c r="B87" s="8">
        <v>97.28594653655502</v>
      </c>
      <c r="C87" s="8">
        <v>101.030937510906</v>
      </c>
      <c r="D87" s="4">
        <f>IFERROR((B87/B86)-1,"")</f>
        <v>0</v>
      </c>
      <c r="E87" s="4">
        <f>IFERROR((C87/C86)-1,"")</f>
        <v>0</v>
      </c>
      <c r="F87" s="4">
        <f>IFERROR(D87-E87,"")</f>
        <v>0</v>
      </c>
      <c r="G87" s="4">
        <f>B87/MAX($B$4:B87)-1</f>
        <v>0</v>
      </c>
    </row>
    <row r="88" spans="1:7">
      <c r="A88" s="3">
        <v>45989</v>
      </c>
      <c r="B88" s="8">
        <v>97.97927075802669</v>
      </c>
      <c r="C88" s="8">
        <v>101.8723784932112</v>
      </c>
      <c r="D88" s="4">
        <f>IFERROR((B88/B87)-1,"")</f>
        <v>0</v>
      </c>
      <c r="E88" s="4">
        <f>IFERROR((C88/C87)-1,"")</f>
        <v>0</v>
      </c>
      <c r="F88" s="4">
        <f>IFERROR(D88-E88,"")</f>
        <v>0</v>
      </c>
      <c r="G88" s="4">
        <f>B88/MAX($B$4:B88)-1</f>
        <v>0</v>
      </c>
    </row>
    <row r="89" spans="1:7">
      <c r="A89" s="3">
        <v>45992</v>
      </c>
      <c r="B89" s="8">
        <v>97.52829219870679</v>
      </c>
      <c r="C89" s="8">
        <v>101.891174455655</v>
      </c>
      <c r="D89" s="4">
        <f>IFERROR((B89/B88)-1,"")</f>
        <v>0</v>
      </c>
      <c r="E89" s="4">
        <f>IFERROR((C89/C88)-1,"")</f>
        <v>0</v>
      </c>
      <c r="F89" s="4">
        <f>IFERROR(D89-E89,"")</f>
        <v>0</v>
      </c>
      <c r="G89" s="4">
        <f>B89/MAX($B$4:B89)-1</f>
        <v>0</v>
      </c>
    </row>
    <row r="90" spans="1:7">
      <c r="A90" s="3">
        <v>45993</v>
      </c>
      <c r="B90" s="8">
        <v>97.64143527352405</v>
      </c>
      <c r="C90" s="8">
        <v>101.9469091756391</v>
      </c>
      <c r="D90" s="4">
        <f>IFERROR((B90/B89)-1,"")</f>
        <v>0</v>
      </c>
      <c r="E90" s="4">
        <f>IFERROR((C90/C89)-1,"")</f>
        <v>0</v>
      </c>
      <c r="F90" s="4">
        <f>IFERROR(D90-E90,"")</f>
        <v>0</v>
      </c>
      <c r="G90" s="4">
        <f>B90/MAX($B$4:B90)-1</f>
        <v>0</v>
      </c>
    </row>
    <row r="91" spans="1:7">
      <c r="A91" s="3">
        <v>45994</v>
      </c>
      <c r="B91" s="8">
        <v>97.74721971104917</v>
      </c>
      <c r="C91" s="8">
        <v>101.676204679695</v>
      </c>
      <c r="D91" s="4">
        <f>IFERROR((B91/B90)-1,"")</f>
        <v>0</v>
      </c>
      <c r="E91" s="4">
        <f>IFERROR((C91/C90)-1,"")</f>
        <v>0</v>
      </c>
      <c r="F91" s="4">
        <f>IFERROR(D91-E91,"")</f>
        <v>0</v>
      </c>
      <c r="G91" s="4">
        <f>B91/MAX($B$4:B91)-1</f>
        <v>0</v>
      </c>
    </row>
    <row r="92" spans="1:7">
      <c r="A92" s="3">
        <v>45995</v>
      </c>
      <c r="B92" s="8">
        <v>98.55137145818595</v>
      </c>
      <c r="C92" s="8">
        <v>102.765275246875</v>
      </c>
      <c r="D92" s="4">
        <f>IFERROR((B92/B91)-1,"")</f>
        <v>0</v>
      </c>
      <c r="E92" s="4">
        <f>IFERROR((C92/C91)-1,"")</f>
        <v>0</v>
      </c>
      <c r="F92" s="4">
        <f>IFERROR(D92-E92,"")</f>
        <v>0</v>
      </c>
      <c r="G92" s="4">
        <f>B92/MAX($B$4:B92)-1</f>
        <v>0</v>
      </c>
    </row>
    <row r="93" spans="1:7">
      <c r="A93" s="3">
        <v>45996</v>
      </c>
      <c r="B93" s="8">
        <v>99.1196245031242</v>
      </c>
      <c r="C93" s="8">
        <v>102.6761488205827</v>
      </c>
      <c r="D93" s="4">
        <f>IFERROR((B93/B92)-1,"")</f>
        <v>0</v>
      </c>
      <c r="E93" s="4">
        <f>IFERROR((C93/C92)-1,"")</f>
        <v>0</v>
      </c>
      <c r="F93" s="4">
        <f>IFERROR(D93-E93,"")</f>
        <v>0</v>
      </c>
      <c r="G93" s="4">
        <f>B93/MAX($B$4:B93)-1</f>
        <v>0</v>
      </c>
    </row>
    <row r="94" spans="1:7">
      <c r="A94" s="3">
        <v>45999</v>
      </c>
      <c r="B94" s="8">
        <v>99.16048104952246</v>
      </c>
      <c r="C94" s="8">
        <v>101.8413675362702</v>
      </c>
      <c r="D94" s="4">
        <f>IFERROR((B94/B93)-1,"")</f>
        <v>0</v>
      </c>
      <c r="E94" s="4">
        <f>IFERROR((C94/C93)-1,"")</f>
        <v>0</v>
      </c>
      <c r="F94" s="4">
        <f>IFERROR(D94-E94,"")</f>
        <v>0</v>
      </c>
      <c r="G94" s="4">
        <f>B94/MAX($B$4:B94)-1</f>
        <v>0</v>
      </c>
    </row>
    <row r="95" spans="1:7">
      <c r="A95" s="3">
        <v>46000</v>
      </c>
      <c r="B95" s="8">
        <v>98.90436417958468</v>
      </c>
      <c r="C95" s="8">
        <v>101.2819457537432</v>
      </c>
      <c r="D95" s="4">
        <f>IFERROR((B95/B94)-1,"")</f>
        <v>0</v>
      </c>
      <c r="E95" s="4">
        <f>IFERROR((C95/C94)-1,"")</f>
        <v>0</v>
      </c>
      <c r="F95" s="4">
        <f>IFERROR(D95-E95,"")</f>
        <v>0</v>
      </c>
      <c r="G95" s="4">
        <f>B95/MAX($B$4:B95)-1</f>
        <v>0</v>
      </c>
    </row>
    <row r="96" spans="1:7">
      <c r="A96" s="3">
        <v>46001</v>
      </c>
      <c r="B96" s="8">
        <v>98.70088569138643</v>
      </c>
      <c r="C96" s="8">
        <v>101.1944166397223</v>
      </c>
      <c r="D96" s="4">
        <f>IFERROR((B96/B95)-1,"")</f>
        <v>0</v>
      </c>
      <c r="E96" s="4">
        <f>IFERROR((C96/C95)-1,"")</f>
        <v>0</v>
      </c>
      <c r="F96" s="4">
        <f>IFERROR(D96-E96,"")</f>
        <v>0</v>
      </c>
      <c r="G96" s="4">
        <f>B96/MAX($B$4:B96)-1</f>
        <v>0</v>
      </c>
    </row>
    <row r="97" spans="1:7">
      <c r="A97" s="3">
        <v>46002</v>
      </c>
      <c r="B97" s="8">
        <v>98.82164260301937</v>
      </c>
      <c r="C97" s="8">
        <v>101.7180773424065</v>
      </c>
      <c r="D97" s="4">
        <f>IFERROR((B97/B96)-1,"")</f>
        <v>0</v>
      </c>
      <c r="E97" s="4">
        <f>IFERROR((C97/C96)-1,"")</f>
        <v>0</v>
      </c>
      <c r="F97" s="4">
        <f>IFERROR(D97-E97,"")</f>
        <v>0</v>
      </c>
      <c r="G97" s="4">
        <f>B97/MAX($B$4:B97)-1</f>
        <v>0</v>
      </c>
    </row>
    <row r="98" spans="1:7">
      <c r="A98" s="3">
        <v>46003</v>
      </c>
      <c r="B98" s="8">
        <v>97.76780611106103</v>
      </c>
      <c r="C98" s="8">
        <v>100.7232154433339</v>
      </c>
      <c r="D98" s="4">
        <f>IFERROR((B98/B97)-1,"")</f>
        <v>0</v>
      </c>
      <c r="E98" s="4">
        <f>IFERROR((C98/C97)-1,"")</f>
        <v>0</v>
      </c>
      <c r="F98" s="4">
        <f>IFERROR(D98-E98,"")</f>
        <v>0</v>
      </c>
      <c r="G98" s="4">
        <f>B98/MAX($B$4:B98)-1</f>
        <v>0</v>
      </c>
    </row>
    <row r="99" spans="1:7">
      <c r="A99" s="3">
        <v>46006</v>
      </c>
      <c r="B99" s="8">
        <v>97.25888196586811</v>
      </c>
      <c r="C99" s="8">
        <v>99.41104031849974</v>
      </c>
      <c r="D99" s="4">
        <f>IFERROR((B99/B98)-1,"")</f>
        <v>0</v>
      </c>
      <c r="E99" s="4">
        <f>IFERROR((C99/C98)-1,"")</f>
        <v>0</v>
      </c>
      <c r="F99" s="4">
        <f>IFERROR(D99-E99,"")</f>
        <v>0</v>
      </c>
      <c r="G99" s="4">
        <f>B99/MAX($B$4:B99)-1</f>
        <v>0</v>
      </c>
    </row>
    <row r="100" spans="1:7">
      <c r="A100" s="3">
        <v>46007</v>
      </c>
      <c r="B100" s="8">
        <v>98.66285259389674</v>
      </c>
      <c r="C100" s="8">
        <v>101.2770871064148</v>
      </c>
      <c r="D100" s="4">
        <f>IFERROR((B100/B99)-1,"")</f>
        <v>0</v>
      </c>
      <c r="E100" s="4">
        <f>IFERROR((C100/C99)-1,"")</f>
        <v>0</v>
      </c>
      <c r="F100" s="4">
        <f>IFERROR(D100-E100,"")</f>
        <v>0</v>
      </c>
      <c r="G100" s="4">
        <f>B100/MAX($B$4:B100)-1</f>
        <v>0</v>
      </c>
    </row>
    <row r="101" spans="1:7">
      <c r="A101" s="3">
        <v>46008</v>
      </c>
      <c r="B101" s="8">
        <v>98.62592484024056</v>
      </c>
      <c r="C101" s="8">
        <v>101.172868585713</v>
      </c>
      <c r="D101" s="4">
        <f>IFERROR((B101/B100)-1,"")</f>
        <v>0</v>
      </c>
      <c r="E101" s="4">
        <f>IFERROR((C101/C100)-1,"")</f>
        <v>0</v>
      </c>
      <c r="F101" s="4">
        <f>IFERROR(D101-E101,"")</f>
        <v>0</v>
      </c>
      <c r="G101" s="4">
        <f>B101/MAX($B$4:B101)-1</f>
        <v>0</v>
      </c>
    </row>
    <row r="102" spans="1:7">
      <c r="A102" s="3">
        <v>46009</v>
      </c>
      <c r="B102" s="8">
        <v>99.45543280334128</v>
      </c>
      <c r="C102" s="8">
        <v>102.6576615461648</v>
      </c>
      <c r="D102" s="4">
        <f>IFERROR((B102/B101)-1,"")</f>
        <v>0</v>
      </c>
      <c r="E102" s="4">
        <f>IFERROR((C102/C101)-1,"")</f>
        <v>0</v>
      </c>
      <c r="F102" s="4">
        <f>IFERROR(D102-E102,"")</f>
        <v>0</v>
      </c>
      <c r="G102" s="4">
        <f>B102/MAX($B$4:B102)-1</f>
        <v>0</v>
      </c>
    </row>
    <row r="103" spans="1:7">
      <c r="A103" s="3">
        <v>46010</v>
      </c>
      <c r="B103" s="8">
        <v>99.08037883423236</v>
      </c>
      <c r="C103" s="8">
        <v>101.9990033128186</v>
      </c>
      <c r="D103" s="4">
        <f>IFERROR((B103/B102)-1,"")</f>
        <v>0</v>
      </c>
      <c r="E103" s="4">
        <f>IFERROR((C103/C102)-1,"")</f>
        <v>0</v>
      </c>
      <c r="F103" s="4">
        <f>IFERROR(D103-E103,"")</f>
        <v>0</v>
      </c>
      <c r="G103" s="4">
        <f>B103/MAX($B$4:B103)-1</f>
        <v>0</v>
      </c>
    </row>
    <row r="104" spans="1:7">
      <c r="A104" s="3">
        <v>46013</v>
      </c>
      <c r="B104" s="8">
        <v>98.81655691528874</v>
      </c>
      <c r="C104" s="8">
        <v>102.0995566946367</v>
      </c>
      <c r="D104" s="4">
        <f>IFERROR((B104/B103)-1,"")</f>
        <v>0</v>
      </c>
      <c r="E104" s="4">
        <f>IFERROR((C104/C103)-1,"")</f>
        <v>0</v>
      </c>
      <c r="F104" s="4">
        <f>IFERROR(D104-E104,"")</f>
        <v>0</v>
      </c>
      <c r="G104" s="4">
        <f>B104/MAX($B$4:B104)-1</f>
        <v>0</v>
      </c>
    </row>
    <row r="105" spans="1:7">
      <c r="A105" s="3">
        <v>46014</v>
      </c>
      <c r="B105" s="8">
        <v>98.8333992445891</v>
      </c>
      <c r="C105" s="8">
        <v>101.6582674963291</v>
      </c>
      <c r="D105" s="4">
        <f>IFERROR((B105/B104)-1,"")</f>
        <v>0</v>
      </c>
      <c r="E105" s="4">
        <f>IFERROR((C105/C104)-1,"")</f>
        <v>0</v>
      </c>
      <c r="F105" s="4">
        <f>IFERROR(D105-E105,"")</f>
        <v>0</v>
      </c>
      <c r="G105" s="4">
        <f>B105/MAX($B$4:B105)-1</f>
        <v>0</v>
      </c>
    </row>
    <row r="106" spans="1:7">
      <c r="A106" s="3">
        <v>46015</v>
      </c>
      <c r="B106" s="8">
        <v>99.83883018109351</v>
      </c>
      <c r="C106" s="8">
        <v>102.6910085827101</v>
      </c>
      <c r="D106" s="4">
        <f>IFERROR((B106/B105)-1,"")</f>
        <v>0</v>
      </c>
      <c r="E106" s="4">
        <f>IFERROR((C106/C105)-1,"")</f>
        <v>0</v>
      </c>
      <c r="F106" s="4">
        <f>IFERROR(D106-E106,"")</f>
        <v>0</v>
      </c>
      <c r="G106" s="4">
        <f>B106/MAX($B$4:B106)-1</f>
        <v>0</v>
      </c>
    </row>
    <row r="107" spans="1:7">
      <c r="A107" s="3">
        <v>46016</v>
      </c>
      <c r="B107" s="8">
        <v>99.14740884446084</v>
      </c>
      <c r="C107" s="8">
        <v>102.2110794178931</v>
      </c>
      <c r="D107" s="4">
        <f>IFERROR((B107/B106)-1,"")</f>
        <v>0</v>
      </c>
      <c r="E107" s="4">
        <f>IFERROR((C107/C106)-1,"")</f>
        <v>0</v>
      </c>
      <c r="F107" s="4">
        <f>IFERROR(D107-E107,"")</f>
        <v>0</v>
      </c>
      <c r="G107" s="4">
        <f>B107/MAX($B$4:B107)-1</f>
        <v>0</v>
      </c>
    </row>
    <row r="108" spans="1:7">
      <c r="A108" s="3">
        <v>46017</v>
      </c>
      <c r="B108" s="8">
        <v>98.5811108777111</v>
      </c>
      <c r="C108" s="8">
        <v>102.0314848832332</v>
      </c>
      <c r="D108" s="4">
        <f>IFERROR((B108/B107)-1,"")</f>
        <v>0</v>
      </c>
      <c r="E108" s="4">
        <f>IFERROR((C108/C107)-1,"")</f>
        <v>0</v>
      </c>
      <c r="F108" s="4">
        <f>IFERROR(D108-E108,"")</f>
        <v>0</v>
      </c>
      <c r="G108" s="4">
        <f>B108/MAX($B$4:B108)-1</f>
        <v>0</v>
      </c>
    </row>
    <row r="109" spans="1:7">
      <c r="A109" s="3">
        <v>46020</v>
      </c>
      <c r="B109" s="8">
        <v>98.20142429868741</v>
      </c>
      <c r="C109" s="8">
        <v>101.251165937049</v>
      </c>
      <c r="D109" s="4">
        <f>IFERROR((B109/B108)-1,"")</f>
        <v>0</v>
      </c>
      <c r="E109" s="4">
        <f>IFERROR((C109/C108)-1,"")</f>
        <v>0</v>
      </c>
      <c r="F109" s="4">
        <f>IFERROR(D109-E109,"")</f>
        <v>0</v>
      </c>
      <c r="G109" s="4">
        <f>B109/MAX($B$4:B109)-1</f>
        <v>0</v>
      </c>
    </row>
    <row r="110" spans="1:7">
      <c r="A110" s="3">
        <v>46021</v>
      </c>
      <c r="B110" s="8">
        <v>97.79262415524251</v>
      </c>
      <c r="C110" s="8">
        <v>100.9966574517575</v>
      </c>
      <c r="D110" s="4">
        <f>IFERROR((B110/B109)-1,"")</f>
        <v>0</v>
      </c>
      <c r="E110" s="4">
        <f>IFERROR((C110/C109)-1,"")</f>
        <v>0</v>
      </c>
      <c r="F110" s="4">
        <f>IFERROR(D110-E110,"")</f>
        <v>0</v>
      </c>
      <c r="G110" s="4">
        <f>B110/MAX($B$4:B110)-1</f>
        <v>0</v>
      </c>
    </row>
    <row r="111" spans="1:7">
      <c r="A111" s="3">
        <v>46022</v>
      </c>
      <c r="B111" s="8">
        <v>98.2100579356818</v>
      </c>
      <c r="C111" s="8">
        <v>101.1456459898182</v>
      </c>
      <c r="D111" s="4">
        <f>IFERROR((B111/B110)-1,"")</f>
        <v>0</v>
      </c>
      <c r="E111" s="4">
        <f>IFERROR((C111/C110)-1,"")</f>
        <v>0</v>
      </c>
      <c r="F111" s="4">
        <f>IFERROR(D111-E111,"")</f>
        <v>0</v>
      </c>
      <c r="G111" s="4">
        <f>B111/MAX($B$4:B111)-1</f>
        <v>0</v>
      </c>
    </row>
    <row r="112" spans="1:7">
      <c r="A112" s="3">
        <v>46023</v>
      </c>
      <c r="B112" s="8">
        <v>98.73008467268963</v>
      </c>
      <c r="C112" s="8">
        <v>101.7302644262122</v>
      </c>
      <c r="D112" s="4">
        <f>IFERROR((B112/B111)-1,"")</f>
        <v>0</v>
      </c>
      <c r="E112" s="4">
        <f>IFERROR((C112/C111)-1,"")</f>
        <v>0</v>
      </c>
      <c r="F112" s="4">
        <f>IFERROR(D112-E112,"")</f>
        <v>0</v>
      </c>
      <c r="G112" s="4">
        <f>B112/MAX($B$4:B112)-1</f>
        <v>0</v>
      </c>
    </row>
    <row r="113" spans="1:7">
      <c r="A113" s="3">
        <v>46024</v>
      </c>
      <c r="B113" s="8">
        <v>98.38392347489463</v>
      </c>
      <c r="C113" s="8">
        <v>101.6767079267434</v>
      </c>
      <c r="D113" s="4">
        <f>IFERROR((B113/B112)-1,"")</f>
        <v>0</v>
      </c>
      <c r="E113" s="4">
        <f>IFERROR((C113/C112)-1,"")</f>
        <v>0</v>
      </c>
      <c r="F113" s="4">
        <f>IFERROR(D113-E113,"")</f>
        <v>0</v>
      </c>
      <c r="G113" s="4">
        <f>B113/MAX($B$4:B113)-1</f>
        <v>0</v>
      </c>
    </row>
    <row r="114" spans="1:7">
      <c r="A114" s="3">
        <v>46027</v>
      </c>
      <c r="B114" s="8">
        <v>98.45513958301819</v>
      </c>
      <c r="C114" s="8">
        <v>101.5623739164676</v>
      </c>
      <c r="D114" s="4">
        <f>IFERROR((B114/B113)-1,"")</f>
        <v>0</v>
      </c>
      <c r="E114" s="4">
        <f>IFERROR((C114/C113)-1,"")</f>
        <v>0</v>
      </c>
      <c r="F114" s="4">
        <f>IFERROR(D114-E114,"")</f>
        <v>0</v>
      </c>
      <c r="G114" s="4">
        <f>B114/MAX($B$4:B114)-1</f>
        <v>0</v>
      </c>
    </row>
    <row r="115" spans="1:7">
      <c r="A115" s="3">
        <v>46028</v>
      </c>
      <c r="B115" s="8">
        <v>99.31669150006989</v>
      </c>
      <c r="C115" s="8">
        <v>102.4421534387513</v>
      </c>
      <c r="D115" s="4">
        <f>IFERROR((B115/B114)-1,"")</f>
        <v>0</v>
      </c>
      <c r="E115" s="4">
        <f>IFERROR((C115/C114)-1,"")</f>
        <v>0</v>
      </c>
      <c r="F115" s="4">
        <f>IFERROR(D115-E115,"")</f>
        <v>0</v>
      </c>
      <c r="G115" s="4">
        <f>B115/MAX($B$4:B115)-1</f>
        <v>0</v>
      </c>
    </row>
    <row r="116" spans="1:7">
      <c r="A116" s="3">
        <v>46029</v>
      </c>
      <c r="B116" s="8">
        <v>99.04357612349753</v>
      </c>
      <c r="C116" s="8">
        <v>102.1915373172022</v>
      </c>
      <c r="D116" s="4">
        <f>IFERROR((B116/B115)-1,"")</f>
        <v>0</v>
      </c>
      <c r="E116" s="4">
        <f>IFERROR((C116/C115)-1,"")</f>
        <v>0</v>
      </c>
      <c r="F116" s="4">
        <f>IFERROR(D116-E116,"")</f>
        <v>0</v>
      </c>
      <c r="G116" s="4">
        <f>B116/MAX($B$4:B116)-1</f>
        <v>0</v>
      </c>
    </row>
    <row r="117" spans="1:7">
      <c r="A117" s="3">
        <v>46030</v>
      </c>
      <c r="B117" s="8">
        <v>99.39569344252799</v>
      </c>
      <c r="C117" s="8">
        <v>103.1304053130377</v>
      </c>
      <c r="D117" s="4">
        <f>IFERROR((B117/B116)-1,"")</f>
        <v>0</v>
      </c>
      <c r="E117" s="4">
        <f>IFERROR((C117/C116)-1,"")</f>
        <v>0</v>
      </c>
      <c r="F117" s="4">
        <f>IFERROR(D117-E117,"")</f>
        <v>0</v>
      </c>
      <c r="G117" s="4">
        <f>B117/MAX($B$4:B117)-1</f>
        <v>0</v>
      </c>
    </row>
    <row r="118" spans="1:7">
      <c r="A118" s="3">
        <v>46031</v>
      </c>
      <c r="B118" s="8">
        <v>100.8901873173852</v>
      </c>
      <c r="C118" s="8">
        <v>104.7697468232917</v>
      </c>
      <c r="D118" s="4">
        <f>IFERROR((B118/B117)-1,"")</f>
        <v>0</v>
      </c>
      <c r="E118" s="4">
        <f>IFERROR((C118/C117)-1,"")</f>
        <v>0</v>
      </c>
      <c r="F118" s="4">
        <f>IFERROR(D118-E118,"")</f>
        <v>0</v>
      </c>
      <c r="G118" s="4">
        <f>B118/MAX($B$4:B118)-1</f>
        <v>0</v>
      </c>
    </row>
    <row r="119" spans="1:7">
      <c r="A119" s="3">
        <v>46034</v>
      </c>
      <c r="B119" s="8">
        <v>100.270952547132</v>
      </c>
      <c r="C119" s="8">
        <v>104.4342368109184</v>
      </c>
      <c r="D119" s="4">
        <f>IFERROR((B119/B118)-1,"")</f>
        <v>0</v>
      </c>
      <c r="E119" s="4">
        <f>IFERROR((C119/C118)-1,"")</f>
        <v>0</v>
      </c>
      <c r="F119" s="4">
        <f>IFERROR(D119-E119,"")</f>
        <v>0</v>
      </c>
      <c r="G119" s="4">
        <f>B119/MAX($B$4:B119)-1</f>
        <v>0</v>
      </c>
    </row>
    <row r="120" spans="1:7">
      <c r="A120" s="3">
        <v>46035</v>
      </c>
      <c r="B120" s="8">
        <v>101.2276343792641</v>
      </c>
      <c r="C120" s="8">
        <v>105.1069790541279</v>
      </c>
      <c r="D120" s="4">
        <f>IFERROR((B120/B119)-1,"")</f>
        <v>0</v>
      </c>
      <c r="E120" s="4">
        <f>IFERROR((C120/C119)-1,"")</f>
        <v>0</v>
      </c>
      <c r="F120" s="4">
        <f>IFERROR(D120-E120,"")</f>
        <v>0</v>
      </c>
      <c r="G120" s="4">
        <f>B120/MAX($B$4:B120)-1</f>
        <v>0</v>
      </c>
    </row>
    <row r="121" spans="1:7">
      <c r="A121" s="3">
        <v>46036</v>
      </c>
      <c r="B121" s="8">
        <v>102.0408088481506</v>
      </c>
      <c r="C121" s="8">
        <v>106.0519907487672</v>
      </c>
      <c r="D121" s="4">
        <f>IFERROR((B121/B120)-1,"")</f>
        <v>0</v>
      </c>
      <c r="E121" s="4">
        <f>IFERROR((C121/C120)-1,"")</f>
        <v>0</v>
      </c>
      <c r="F121" s="4">
        <f>IFERROR(D121-E121,"")</f>
        <v>0</v>
      </c>
      <c r="G121" s="4">
        <f>B121/MAX($B$4:B121)-1</f>
        <v>0</v>
      </c>
    </row>
    <row r="122" spans="1:7">
      <c r="A122" s="3">
        <v>46037</v>
      </c>
      <c r="B122" s="8">
        <v>101.2096076804692</v>
      </c>
      <c r="C122" s="8">
        <v>104.6886531331202</v>
      </c>
      <c r="D122" s="4">
        <f>IFERROR((B122/B121)-1,"")</f>
        <v>0</v>
      </c>
      <c r="E122" s="4">
        <f>IFERROR((C122/C121)-1,"")</f>
        <v>0</v>
      </c>
      <c r="F122" s="4">
        <f>IFERROR(D122-E122,"")</f>
        <v>0</v>
      </c>
      <c r="G122" s="4">
        <f>B122/MAX($B$4:B122)-1</f>
        <v>0</v>
      </c>
    </row>
    <row r="123" spans="1:7">
      <c r="A123" s="3">
        <v>46038</v>
      </c>
      <c r="B123" s="8">
        <v>101.1808418387074</v>
      </c>
      <c r="C123" s="8">
        <v>105.4584765724356</v>
      </c>
      <c r="D123" s="4">
        <f>IFERROR((B123/B122)-1,"")</f>
        <v>0</v>
      </c>
      <c r="E123" s="4">
        <f>IFERROR((C123/C122)-1,"")</f>
        <v>0</v>
      </c>
      <c r="F123" s="4">
        <f>IFERROR(D123-E123,"")</f>
        <v>0</v>
      </c>
      <c r="G123" s="4">
        <f>B123/MAX($B$4:B123)-1</f>
        <v>0</v>
      </c>
    </row>
    <row r="124" spans="1:7">
      <c r="A124" s="3">
        <v>46041</v>
      </c>
      <c r="B124" s="8">
        <v>102.8259357989299</v>
      </c>
      <c r="C124" s="8">
        <v>106.8555431853625</v>
      </c>
      <c r="D124" s="4">
        <f>IFERROR((B124/B123)-1,"")</f>
        <v>0</v>
      </c>
      <c r="E124" s="4">
        <f>IFERROR((C124/C123)-1,"")</f>
        <v>0</v>
      </c>
      <c r="F124" s="4">
        <f>IFERROR(D124-E124,"")</f>
        <v>0</v>
      </c>
      <c r="G124" s="4">
        <f>B124/MAX($B$4:B124)-1</f>
        <v>0</v>
      </c>
    </row>
    <row r="125" spans="1:7">
      <c r="A125" s="3">
        <v>46042</v>
      </c>
      <c r="B125" s="8">
        <v>103.2115403060488</v>
      </c>
      <c r="C125" s="8">
        <v>108.2780880637964</v>
      </c>
      <c r="D125" s="4">
        <f>IFERROR((B125/B124)-1,"")</f>
        <v>0</v>
      </c>
      <c r="E125" s="4">
        <f>IFERROR((C125/C124)-1,"")</f>
        <v>0</v>
      </c>
      <c r="F125" s="4">
        <f>IFERROR(D125-E125,"")</f>
        <v>0</v>
      </c>
      <c r="G125" s="4">
        <f>B125/MAX($B$4:B125)-1</f>
        <v>0</v>
      </c>
    </row>
    <row r="126" spans="1:7">
      <c r="A126" s="3">
        <v>46043</v>
      </c>
      <c r="B126" s="8">
        <v>103.008044579181</v>
      </c>
      <c r="C126" s="8">
        <v>108.4575815269646</v>
      </c>
      <c r="D126" s="4">
        <f>IFERROR((B126/B125)-1,"")</f>
        <v>0</v>
      </c>
      <c r="E126" s="4">
        <f>IFERROR((C126/C125)-1,"")</f>
        <v>0</v>
      </c>
      <c r="F126" s="4">
        <f>IFERROR(D126-E126,"")</f>
        <v>0</v>
      </c>
      <c r="G126" s="4">
        <f>B126/MAX($B$4:B126)-1</f>
        <v>0</v>
      </c>
    </row>
    <row r="127" spans="1:7">
      <c r="A127" s="3">
        <v>46044</v>
      </c>
      <c r="B127" s="8">
        <v>103.5146325085554</v>
      </c>
      <c r="C127" s="8">
        <v>109.2263680957506</v>
      </c>
      <c r="D127" s="4">
        <f>IFERROR((B127/B126)-1,"")</f>
        <v>0</v>
      </c>
      <c r="E127" s="4">
        <f>IFERROR((C127/C126)-1,"")</f>
        <v>0</v>
      </c>
      <c r="F127" s="4">
        <f>IFERROR(D127-E127,"")</f>
        <v>0</v>
      </c>
      <c r="G127" s="4">
        <f>B127/MAX($B$4:B127)-1</f>
        <v>0</v>
      </c>
    </row>
    <row r="128" spans="1:7">
      <c r="A128" s="3">
        <v>46045</v>
      </c>
      <c r="B128" s="8">
        <v>103.7849592657261</v>
      </c>
      <c r="C128" s="8">
        <v>109.8151434749523</v>
      </c>
      <c r="D128" s="4">
        <f>IFERROR((B128/B127)-1,"")</f>
        <v>0</v>
      </c>
      <c r="E128" s="4">
        <f>IFERROR((C128/C127)-1,"")</f>
        <v>0</v>
      </c>
      <c r="F128" s="4">
        <f>IFERROR(D128-E128,"")</f>
        <v>0</v>
      </c>
      <c r="G128" s="4">
        <f>B128/MAX($B$4:B128)-1</f>
        <v>0</v>
      </c>
    </row>
    <row r="129" spans="1:7">
      <c r="A129" s="3">
        <v>46048</v>
      </c>
      <c r="B129" s="8">
        <v>102.6517347946605</v>
      </c>
      <c r="C129" s="8">
        <v>108.2778677394161</v>
      </c>
      <c r="D129" s="4">
        <f>IFERROR((B129/B128)-1,"")</f>
        <v>0</v>
      </c>
      <c r="E129" s="4">
        <f>IFERROR((C129/C128)-1,"")</f>
        <v>0</v>
      </c>
      <c r="F129" s="4">
        <f>IFERROR(D129-E129,"")</f>
        <v>0</v>
      </c>
      <c r="G129" s="4">
        <f>B129/MAX($B$4:B129)-1</f>
        <v>0</v>
      </c>
    </row>
    <row r="130" spans="1:7">
      <c r="A130" s="3">
        <v>46049</v>
      </c>
      <c r="B130" s="8">
        <v>102.7991108244101</v>
      </c>
      <c r="C130" s="8">
        <v>108.53891506043</v>
      </c>
      <c r="D130" s="4">
        <f>IFERROR((B130/B129)-1,"")</f>
        <v>0</v>
      </c>
      <c r="E130" s="4">
        <f>IFERROR((C130/C129)-1,"")</f>
        <v>0</v>
      </c>
      <c r="F130" s="4">
        <f>IFERROR(D130-E130,"")</f>
        <v>0</v>
      </c>
      <c r="G130" s="4">
        <f>B130/MAX($B$4:B130)-1</f>
        <v>0</v>
      </c>
    </row>
    <row r="131" spans="1:7">
      <c r="A131" s="3">
        <v>46050</v>
      </c>
      <c r="B131" s="8">
        <v>103.498757271427</v>
      </c>
      <c r="C131" s="8">
        <v>109.3334215305715</v>
      </c>
      <c r="D131" s="4">
        <f>IFERROR((B131/B130)-1,"")</f>
        <v>0</v>
      </c>
      <c r="E131" s="4">
        <f>IFERROR((C131/C130)-1,"")</f>
        <v>0</v>
      </c>
      <c r="F131" s="4">
        <f>IFERROR(D131-E131,"")</f>
        <v>0</v>
      </c>
      <c r="G131" s="4">
        <f>B131/MAX($B$4:B131)-1</f>
        <v>0</v>
      </c>
    </row>
    <row r="132" spans="1:7">
      <c r="A132" s="3">
        <v>46051</v>
      </c>
      <c r="B132" s="8">
        <v>102.5999089064974</v>
      </c>
      <c r="C132" s="8">
        <v>107.6340387105357</v>
      </c>
      <c r="D132" s="4">
        <f>IFERROR((B132/B131)-1,"")</f>
        <v>0</v>
      </c>
      <c r="E132" s="4">
        <f>IFERROR((C132/C131)-1,"")</f>
        <v>0</v>
      </c>
      <c r="F132" s="4">
        <f>IFERROR(D132-E132,"")</f>
        <v>0</v>
      </c>
      <c r="G132" s="4">
        <f>B132/MAX($B$4:B132)-1</f>
        <v>0</v>
      </c>
    </row>
    <row r="133" spans="1:7">
      <c r="A133" s="3">
        <v>46052</v>
      </c>
      <c r="B133" s="8">
        <v>104.2806192349979</v>
      </c>
      <c r="C133" s="8">
        <v>109.3748065880458</v>
      </c>
      <c r="D133" s="4">
        <f>IFERROR((B133/B132)-1,"")</f>
        <v>0</v>
      </c>
      <c r="E133" s="4">
        <f>IFERROR((C133/C132)-1,"")</f>
        <v>0</v>
      </c>
      <c r="F133" s="4">
        <f>IFERROR(D133-E133,"")</f>
        <v>0</v>
      </c>
      <c r="G133" s="4">
        <f>B133/MAX($B$4:B133)-1</f>
        <v>0</v>
      </c>
    </row>
    <row r="134" spans="1:7">
      <c r="A134" s="3">
        <v>46055</v>
      </c>
      <c r="B134" s="8">
        <v>105.109432116994</v>
      </c>
      <c r="C134" s="8">
        <v>110.4702394701428</v>
      </c>
      <c r="D134" s="4">
        <f>IFERROR((B134/B133)-1,"")</f>
        <v>0</v>
      </c>
      <c r="E134" s="4">
        <f>IFERROR((C134/C133)-1,"")</f>
        <v>0</v>
      </c>
      <c r="F134" s="4">
        <f>IFERROR(D134-E134,"")</f>
        <v>0</v>
      </c>
      <c r="G134" s="4">
        <f>B134/MAX($B$4:B134)-1</f>
        <v>0</v>
      </c>
    </row>
    <row r="135" spans="1:7">
      <c r="A135" s="3">
        <v>46056</v>
      </c>
      <c r="B135" s="8">
        <v>104.7313878312705</v>
      </c>
      <c r="C135" s="8">
        <v>109.4079014419291</v>
      </c>
      <c r="D135" s="4">
        <f>IFERROR((B135/B134)-1,"")</f>
        <v>0</v>
      </c>
      <c r="E135" s="4">
        <f>IFERROR((C135/C134)-1,"")</f>
        <v>0</v>
      </c>
      <c r="F135" s="4">
        <f>IFERROR(D135-E135,"")</f>
        <v>0</v>
      </c>
      <c r="G135" s="4">
        <f>B135/MAX($B$4:B135)-1</f>
        <v>0</v>
      </c>
    </row>
    <row r="136" spans="1:7">
      <c r="A136" s="3">
        <v>46057</v>
      </c>
      <c r="B136" s="8">
        <v>105.2245175689376</v>
      </c>
      <c r="C136" s="8">
        <v>109.8573622312712</v>
      </c>
      <c r="D136" s="4">
        <f>IFERROR((B136/B135)-1,"")</f>
        <v>0</v>
      </c>
      <c r="E136" s="4">
        <f>IFERROR((C136/C135)-1,"")</f>
        <v>0</v>
      </c>
      <c r="F136" s="4">
        <f>IFERROR(D136-E136,"")</f>
        <v>0</v>
      </c>
      <c r="G136" s="4">
        <f>B136/MAX($B$4:B136)-1</f>
        <v>0</v>
      </c>
    </row>
    <row r="137" spans="1:7">
      <c r="A137" s="3">
        <v>46058</v>
      </c>
      <c r="B137" s="8">
        <v>104.0289669854648</v>
      </c>
      <c r="C137" s="8">
        <v>108.352309068948</v>
      </c>
      <c r="D137" s="4">
        <f>IFERROR((B137/B136)-1,"")</f>
        <v>0</v>
      </c>
      <c r="E137" s="4">
        <f>IFERROR((C137/C136)-1,"")</f>
        <v>0</v>
      </c>
      <c r="F137" s="4">
        <f>IFERROR(D137-E137,"")</f>
        <v>0</v>
      </c>
      <c r="G137" s="4">
        <f>B137/MAX($B$4:B137)-1</f>
        <v>0</v>
      </c>
    </row>
    <row r="138" spans="1:7">
      <c r="A138" s="3">
        <v>46059</v>
      </c>
      <c r="B138" s="8">
        <v>104.9294957093625</v>
      </c>
      <c r="C138" s="8">
        <v>109.8518103460658</v>
      </c>
      <c r="D138" s="4">
        <f>IFERROR((B138/B137)-1,"")</f>
        <v>0</v>
      </c>
      <c r="E138" s="4">
        <f>IFERROR((C138/C137)-1,"")</f>
        <v>0</v>
      </c>
      <c r="F138" s="4">
        <f>IFERROR(D138-E138,"")</f>
        <v>0</v>
      </c>
      <c r="G138" s="4">
        <f>B138/MAX($B$4:B138)-1</f>
        <v>0</v>
      </c>
    </row>
    <row r="139" spans="1:7">
      <c r="A139" s="3">
        <v>46062</v>
      </c>
      <c r="B139" s="8">
        <v>105.2215742187017</v>
      </c>
      <c r="C139" s="8">
        <v>110.3715363331285</v>
      </c>
      <c r="D139" s="4">
        <f>IFERROR((B139/B138)-1,"")</f>
        <v>0</v>
      </c>
      <c r="E139" s="4">
        <f>IFERROR((C139/C138)-1,"")</f>
        <v>0</v>
      </c>
      <c r="F139" s="4">
        <f>IFERROR(D139-E139,"")</f>
        <v>0</v>
      </c>
      <c r="G139" s="4">
        <f>B139/MAX($B$4:B139)-1</f>
        <v>0</v>
      </c>
    </row>
    <row r="140" spans="1:7">
      <c r="A140" s="3">
        <v>46063</v>
      </c>
      <c r="B140" s="8">
        <v>105.6481799482456</v>
      </c>
      <c r="C140" s="8">
        <v>110.3657706511377</v>
      </c>
      <c r="D140" s="4">
        <f>IFERROR((B140/B139)-1,"")</f>
        <v>0</v>
      </c>
      <c r="E140" s="4">
        <f>IFERROR((C140/C139)-1,"")</f>
        <v>0</v>
      </c>
      <c r="F140" s="4">
        <f>IFERROR(D140-E140,"")</f>
        <v>0</v>
      </c>
      <c r="G140" s="4">
        <f>B140/MAX($B$4:B140)-1</f>
        <v>0</v>
      </c>
    </row>
    <row r="141" spans="1:7">
      <c r="A141" s="3">
        <v>46064</v>
      </c>
      <c r="B141" s="8">
        <v>104.6365804326809</v>
      </c>
      <c r="C141" s="8">
        <v>109.0641172793446</v>
      </c>
      <c r="D141" s="4">
        <f>IFERROR((B141/B140)-1,"")</f>
        <v>0</v>
      </c>
      <c r="E141" s="4">
        <f>IFERROR((C141/C140)-1,"")</f>
        <v>0</v>
      </c>
      <c r="F141" s="4">
        <f>IFERROR(D141-E141,"")</f>
        <v>0</v>
      </c>
      <c r="G141" s="4">
        <f>B141/MAX($B$4:B141)-1</f>
        <v>0</v>
      </c>
    </row>
    <row r="142" spans="1:7">
      <c r="A142" s="3">
        <v>46065</v>
      </c>
      <c r="B142" s="8">
        <v>105.4441315899731</v>
      </c>
      <c r="C142" s="8">
        <v>110.0636511010414</v>
      </c>
      <c r="D142" s="4">
        <f>IFERROR((B142/B141)-1,"")</f>
        <v>0</v>
      </c>
      <c r="E142" s="4">
        <f>IFERROR((C142/C141)-1,"")</f>
        <v>0</v>
      </c>
      <c r="F142" s="4">
        <f>IFERROR(D142-E142,"")</f>
        <v>0</v>
      </c>
      <c r="G142" s="4">
        <f>B142/MAX($B$4:B142)-1</f>
        <v>0</v>
      </c>
    </row>
    <row r="143" spans="1:7">
      <c r="A143" s="3">
        <v>46066</v>
      </c>
      <c r="B143" s="8">
        <v>105.0114430750631</v>
      </c>
      <c r="C143" s="8">
        <v>109.64659619643</v>
      </c>
      <c r="D143" s="4">
        <f>IFERROR((B143/B142)-1,"")</f>
        <v>0</v>
      </c>
      <c r="E143" s="4">
        <f>IFERROR((C143/C142)-1,"")</f>
        <v>0</v>
      </c>
      <c r="F143" s="4">
        <f>IFERROR(D143-E143,"")</f>
        <v>0</v>
      </c>
      <c r="G143" s="4">
        <f>B143/MAX($B$4:B143)-1</f>
        <v>0</v>
      </c>
    </row>
    <row r="144" spans="1:7">
      <c r="A144" s="3">
        <v>46069</v>
      </c>
      <c r="B144" s="8">
        <v>104.947340029529</v>
      </c>
      <c r="C144" s="8">
        <v>108.8008242157271</v>
      </c>
      <c r="D144" s="4">
        <f>IFERROR((B144/B143)-1,"")</f>
        <v>0</v>
      </c>
      <c r="E144" s="4">
        <f>IFERROR((C144/C143)-1,"")</f>
        <v>0</v>
      </c>
      <c r="F144" s="4">
        <f>IFERROR(D144-E144,"")</f>
        <v>0</v>
      </c>
      <c r="G144" s="4">
        <f>B144/MAX($B$4:B144)-1</f>
        <v>0</v>
      </c>
    </row>
    <row r="145" spans="1:7">
      <c r="A145" s="3">
        <v>46070</v>
      </c>
      <c r="B145" s="8">
        <v>105.3547109514388</v>
      </c>
      <c r="C145" s="8">
        <v>108.8384423408962</v>
      </c>
      <c r="D145" s="4">
        <f>IFERROR((B145/B144)-1,"")</f>
        <v>0</v>
      </c>
      <c r="E145" s="4">
        <f>IFERROR((C145/C144)-1,"")</f>
        <v>0</v>
      </c>
      <c r="F145" s="4">
        <f>IFERROR(D145-E145,"")</f>
        <v>0</v>
      </c>
      <c r="G145" s="4">
        <f>B145/MAX($B$4:B145)-1</f>
        <v>0</v>
      </c>
    </row>
    <row r="146" spans="1:7">
      <c r="A146" s="3">
        <v>46071</v>
      </c>
      <c r="B146" s="8">
        <v>105.3103913016391</v>
      </c>
      <c r="C146" s="8">
        <v>109.1901897413266</v>
      </c>
      <c r="D146" s="4">
        <f>IFERROR((B146/B145)-1,"")</f>
        <v>0</v>
      </c>
      <c r="E146" s="4">
        <f>IFERROR((C146/C145)-1,"")</f>
        <v>0</v>
      </c>
      <c r="F146" s="4">
        <f>IFERROR(D146-E146,"")</f>
        <v>0</v>
      </c>
      <c r="G146" s="4">
        <f>B146/MAX($B$4:B146)-1</f>
        <v>0</v>
      </c>
    </row>
    <row r="147" spans="1:7">
      <c r="A147" s="3">
        <v>46072</v>
      </c>
      <c r="B147" s="8">
        <v>104.7376714960667</v>
      </c>
      <c r="C147" s="8">
        <v>108.6077094710459</v>
      </c>
      <c r="D147" s="4">
        <f>IFERROR((B147/B146)-1,"")</f>
        <v>0</v>
      </c>
      <c r="E147" s="4">
        <f>IFERROR((C147/C146)-1,"")</f>
        <v>0</v>
      </c>
      <c r="F147" s="4">
        <f>IFERROR(D147-E147,"")</f>
        <v>0</v>
      </c>
      <c r="G147" s="4">
        <f>B147/MAX($B$4:B147)-1</f>
        <v>0</v>
      </c>
    </row>
    <row r="148" spans="1:7">
      <c r="A148" s="3">
        <v>46073</v>
      </c>
      <c r="B148" s="8">
        <v>105.4335202192226</v>
      </c>
      <c r="C148" s="8">
        <v>109.2153338943431</v>
      </c>
      <c r="D148" s="4">
        <f>IFERROR((B148/B147)-1,"")</f>
        <v>0</v>
      </c>
      <c r="E148" s="4">
        <f>IFERROR((C148/C147)-1,"")</f>
        <v>0</v>
      </c>
      <c r="F148" s="4">
        <f>IFERROR(D148-E148,"")</f>
        <v>0</v>
      </c>
      <c r="G148" s="4">
        <f>B148/MAX($B$4:B148)-1</f>
        <v>0</v>
      </c>
    </row>
    <row r="149" spans="1:7">
      <c r="A149" s="3">
        <v>46076</v>
      </c>
      <c r="B149" s="8">
        <v>106.1871149000149</v>
      </c>
      <c r="C149" s="8">
        <v>110.8789330596419</v>
      </c>
      <c r="D149" s="4">
        <f>IFERROR((B149/B148)-1,"")</f>
        <v>0</v>
      </c>
      <c r="E149" s="4">
        <f>IFERROR((C149/C148)-1,"")</f>
        <v>0</v>
      </c>
      <c r="F149" s="4">
        <f>IFERROR(D149-E149,"")</f>
        <v>0</v>
      </c>
      <c r="G149" s="4">
        <f>B149/MAX($B$4:B149)-1</f>
        <v>0</v>
      </c>
    </row>
    <row r="150" spans="1:7">
      <c r="A150" s="3">
        <v>46077</v>
      </c>
      <c r="B150" s="8">
        <v>106.6481690702942</v>
      </c>
      <c r="C150" s="8">
        <v>110.8402827372744</v>
      </c>
      <c r="D150" s="4">
        <f>IFERROR((B150/B149)-1,"")</f>
        <v>0</v>
      </c>
      <c r="E150" s="4">
        <f>IFERROR((C150/C149)-1,"")</f>
        <v>0</v>
      </c>
      <c r="F150" s="4">
        <f>IFERROR(D150-E150,"")</f>
        <v>0</v>
      </c>
      <c r="G150" s="4">
        <f>B150/MAX($B$4:B150)-1</f>
        <v>0</v>
      </c>
    </row>
    <row r="151" spans="1:7">
      <c r="A151" s="3">
        <v>46078</v>
      </c>
      <c r="B151" s="8">
        <v>107.0467269485</v>
      </c>
      <c r="C151" s="8">
        <v>110.7407835701691</v>
      </c>
      <c r="D151" s="4">
        <f>IFERROR((B151/B150)-1,"")</f>
        <v>0</v>
      </c>
      <c r="E151" s="4">
        <f>IFERROR((C151/C150)-1,"")</f>
        <v>0</v>
      </c>
      <c r="F151" s="4">
        <f>IFERROR(D151-E151,"")</f>
        <v>0</v>
      </c>
      <c r="G151" s="4">
        <f>B151/MAX($B$4:B151)-1</f>
        <v>0</v>
      </c>
    </row>
    <row r="152" spans="1:7">
      <c r="A152" s="3">
        <v>46079</v>
      </c>
      <c r="B152" s="8">
        <v>105.9328564626606</v>
      </c>
      <c r="C152" s="8">
        <v>109.1635496560825</v>
      </c>
      <c r="D152" s="4">
        <f>IFERROR((B152/B151)-1,"")</f>
        <v>0</v>
      </c>
      <c r="E152" s="4">
        <f>IFERROR((C152/C151)-1,"")</f>
        <v>0</v>
      </c>
      <c r="F152" s="4">
        <f>IFERROR(D152-E152,"")</f>
        <v>0</v>
      </c>
      <c r="G152" s="4">
        <f>B152/MAX($B$4:B152)-1</f>
        <v>0</v>
      </c>
    </row>
    <row r="153" spans="1:7">
      <c r="A153" s="3">
        <v>46080</v>
      </c>
      <c r="B153" s="8">
        <v>106.5039203484827</v>
      </c>
      <c r="C153" s="8">
        <v>109.5494958008681</v>
      </c>
      <c r="D153" s="4">
        <f>IFERROR((B153/B152)-1,"")</f>
        <v>0</v>
      </c>
      <c r="E153" s="4">
        <f>IFERROR((C153/C152)-1,"")</f>
        <v>0</v>
      </c>
      <c r="F153" s="4">
        <f>IFERROR(D153-E153,"")</f>
        <v>0</v>
      </c>
      <c r="G153" s="4">
        <f>B153/MAX($B$4:B153)-1</f>
        <v>0</v>
      </c>
    </row>
    <row r="154" spans="1:7">
      <c r="A154" s="3">
        <v>46083</v>
      </c>
      <c r="B154" s="8">
        <v>106.9857440102703</v>
      </c>
      <c r="C154" s="8">
        <v>110.6365339664119</v>
      </c>
      <c r="D154" s="4">
        <f>IFERROR((B154/B153)-1,"")</f>
        <v>0</v>
      </c>
      <c r="E154" s="4">
        <f>IFERROR((C154/C153)-1,"")</f>
        <v>0</v>
      </c>
      <c r="F154" s="4">
        <f>IFERROR(D154-E154,"")</f>
        <v>0</v>
      </c>
      <c r="G154" s="4">
        <f>B154/MAX($B$4:B154)-1</f>
        <v>0</v>
      </c>
    </row>
    <row r="155" spans="1:7">
      <c r="A155" s="3">
        <v>46084</v>
      </c>
      <c r="B155" s="8">
        <v>105.5667602536704</v>
      </c>
      <c r="C155" s="8">
        <v>108.4757026263557</v>
      </c>
      <c r="D155" s="4">
        <f>IFERROR((B155/B154)-1,"")</f>
        <v>0</v>
      </c>
      <c r="E155" s="4">
        <f>IFERROR((C155/C154)-1,"")</f>
        <v>0</v>
      </c>
      <c r="F155" s="4">
        <f>IFERROR(D155-E155,"")</f>
        <v>0</v>
      </c>
      <c r="G155" s="4">
        <f>B155/MAX($B$4:B155)-1</f>
        <v>0</v>
      </c>
    </row>
    <row r="156" spans="1:7">
      <c r="A156" s="3">
        <v>46085</v>
      </c>
      <c r="B156" s="8">
        <v>106.0889190873324</v>
      </c>
      <c r="C156" s="8">
        <v>109.5822089276182</v>
      </c>
      <c r="D156" s="4">
        <f>IFERROR((B156/B155)-1,"")</f>
        <v>0</v>
      </c>
      <c r="E156" s="4">
        <f>IFERROR((C156/C155)-1,"")</f>
        <v>0</v>
      </c>
      <c r="F156" s="4">
        <f>IFERROR(D156-E156,"")</f>
        <v>0</v>
      </c>
      <c r="G156" s="4">
        <f>B156/MAX($B$4:B156)-1</f>
        <v>0</v>
      </c>
    </row>
    <row r="157" spans="1:7">
      <c r="A157" s="3">
        <v>46086</v>
      </c>
      <c r="B157" s="8">
        <v>105.6796028336876</v>
      </c>
      <c r="C157" s="8">
        <v>109.9652082908503</v>
      </c>
      <c r="D157" s="4">
        <f>IFERROR((B157/B156)-1,"")</f>
        <v>0</v>
      </c>
      <c r="E157" s="4">
        <f>IFERROR((C157/C156)-1,"")</f>
        <v>0</v>
      </c>
      <c r="F157" s="4">
        <f>IFERROR(D157-E157,"")</f>
        <v>0</v>
      </c>
      <c r="G157" s="4">
        <f>B157/MAX($B$4:B157)-1</f>
        <v>0</v>
      </c>
    </row>
    <row r="158" spans="1:7">
      <c r="A158" s="3">
        <v>46087</v>
      </c>
      <c r="B158" s="8">
        <v>106.5828191895284</v>
      </c>
      <c r="C158" s="8">
        <v>110.9467779918751</v>
      </c>
      <c r="D158" s="4">
        <f>IFERROR((B158/B157)-1,"")</f>
        <v>0</v>
      </c>
      <c r="E158" s="4">
        <f>IFERROR((C158/C157)-1,"")</f>
        <v>0</v>
      </c>
      <c r="F158" s="4">
        <f>IFERROR(D158-E158,"")</f>
        <v>0</v>
      </c>
      <c r="G158" s="4">
        <f>B158/MAX($B$4:B158)-1</f>
        <v>0</v>
      </c>
    </row>
    <row r="159" spans="1:7">
      <c r="A159" s="3">
        <v>46090</v>
      </c>
      <c r="B159" s="8">
        <v>105.7119562886696</v>
      </c>
      <c r="C159" s="8">
        <v>110.1153607972654</v>
      </c>
      <c r="D159" s="4">
        <f>IFERROR((B159/B158)-1,"")</f>
        <v>0</v>
      </c>
      <c r="E159" s="4">
        <f>IFERROR((C159/C158)-1,"")</f>
        <v>0</v>
      </c>
      <c r="F159" s="4">
        <f>IFERROR(D159-E159,"")</f>
        <v>0</v>
      </c>
      <c r="G159" s="4">
        <f>B159/MAX($B$4:B159)-1</f>
        <v>0</v>
      </c>
    </row>
    <row r="160" spans="1:7">
      <c r="A160" s="3">
        <v>46091</v>
      </c>
      <c r="B160" s="8">
        <v>106.0699999807685</v>
      </c>
      <c r="C160" s="8">
        <v>110.3496216545202</v>
      </c>
      <c r="D160" s="4">
        <f>IFERROR((B160/B159)-1,"")</f>
        <v>0</v>
      </c>
      <c r="E160" s="4">
        <f>IFERROR((C160/C159)-1,"")</f>
        <v>0</v>
      </c>
      <c r="F160" s="4">
        <f>IFERROR(D160-E160,"")</f>
        <v>0</v>
      </c>
      <c r="G160" s="4">
        <f>B160/MAX($B$4:B160)-1</f>
        <v>0</v>
      </c>
    </row>
    <row r="161" spans="1:7">
      <c r="A161" s="3">
        <v>46092</v>
      </c>
      <c r="B161" s="8">
        <v>106.5776785225187</v>
      </c>
      <c r="C161" s="8">
        <v>110.3245499876168</v>
      </c>
      <c r="D161" s="4">
        <f>IFERROR((B161/B160)-1,"")</f>
        <v>0</v>
      </c>
      <c r="E161" s="4">
        <f>IFERROR((C161/C160)-1,"")</f>
        <v>0</v>
      </c>
      <c r="F161" s="4">
        <f>IFERROR(D161-E161,"")</f>
        <v>0</v>
      </c>
      <c r="G161" s="4">
        <f>B161/MAX($B$4:B161)-1</f>
        <v>0</v>
      </c>
    </row>
    <row r="162" spans="1:7">
      <c r="A162" s="3">
        <v>46093</v>
      </c>
      <c r="B162" s="8">
        <v>107.0097665625298</v>
      </c>
      <c r="C162" s="8">
        <v>110.6659993951674</v>
      </c>
      <c r="D162" s="4">
        <f>IFERROR((B162/B161)-1,"")</f>
        <v>0</v>
      </c>
      <c r="E162" s="4">
        <f>IFERROR((C162/C161)-1,"")</f>
        <v>0</v>
      </c>
      <c r="F162" s="4">
        <f>IFERROR(D162-E162,"")</f>
        <v>0</v>
      </c>
      <c r="G162" s="4">
        <f>B162/MAX($B$4:B162)-1</f>
        <v>0</v>
      </c>
    </row>
    <row r="163" spans="1:7">
      <c r="A163" s="3">
        <v>46094</v>
      </c>
      <c r="B163" s="8">
        <v>105.6708554985573</v>
      </c>
      <c r="C163" s="8">
        <v>109.2116548888555</v>
      </c>
      <c r="D163" s="4">
        <f>IFERROR((B163/B162)-1,"")</f>
        <v>0</v>
      </c>
      <c r="E163" s="4">
        <f>IFERROR((C163/C162)-1,"")</f>
        <v>0</v>
      </c>
      <c r="F163" s="4">
        <f>IFERROR(D163-E163,"")</f>
        <v>0</v>
      </c>
      <c r="G163" s="4">
        <f>B163/MAX($B$4:B163)-1</f>
        <v>0</v>
      </c>
    </row>
    <row r="164" spans="1:7">
      <c r="A164" s="3">
        <v>46097</v>
      </c>
      <c r="B164" s="8">
        <v>105.6882995842928</v>
      </c>
      <c r="C164" s="8">
        <v>109.7807626825399</v>
      </c>
      <c r="D164" s="4">
        <f>IFERROR((B164/B163)-1,"")</f>
        <v>0</v>
      </c>
      <c r="E164" s="4">
        <f>IFERROR((C164/C163)-1,"")</f>
        <v>0</v>
      </c>
      <c r="F164" s="4">
        <f>IFERROR(D164-E164,"")</f>
        <v>0</v>
      </c>
      <c r="G164" s="4">
        <f>B164/MAX($B$4:B164)-1</f>
        <v>0</v>
      </c>
    </row>
    <row r="165" spans="1:7">
      <c r="A165" s="3">
        <v>46098</v>
      </c>
      <c r="B165" s="8">
        <v>105.6231354200342</v>
      </c>
      <c r="C165" s="8">
        <v>109.9204846428439</v>
      </c>
      <c r="D165" s="4">
        <f>IFERROR((B165/B164)-1,"")</f>
        <v>0</v>
      </c>
      <c r="E165" s="4">
        <f>IFERROR((C165/C164)-1,"")</f>
        <v>0</v>
      </c>
      <c r="F165" s="4">
        <f>IFERROR(D165-E165,"")</f>
        <v>0</v>
      </c>
      <c r="G165" s="4">
        <f>B165/MAX($B$4:B165)-1</f>
        <v>0</v>
      </c>
    </row>
    <row r="166" spans="1:7">
      <c r="A166" s="3">
        <v>46099</v>
      </c>
      <c r="B166" s="8">
        <v>104.2954620295496</v>
      </c>
      <c r="C166" s="8">
        <v>108.462019754767</v>
      </c>
      <c r="D166" s="4">
        <f>IFERROR((B166/B165)-1,"")</f>
        <v>0</v>
      </c>
      <c r="E166" s="4">
        <f>IFERROR((C166/C165)-1,"")</f>
        <v>0</v>
      </c>
      <c r="F166" s="4">
        <f>IFERROR(D166-E166,"")</f>
        <v>0</v>
      </c>
      <c r="G166" s="4">
        <f>B166/MAX($B$4:B166)-1</f>
        <v>0</v>
      </c>
    </row>
    <row r="167" spans="1:7">
      <c r="A167" s="3">
        <v>46100</v>
      </c>
      <c r="B167" s="8">
        <v>104.1249557255325</v>
      </c>
      <c r="C167" s="8">
        <v>108.6491573449914</v>
      </c>
      <c r="D167" s="4">
        <f>IFERROR((B167/B166)-1,"")</f>
        <v>0</v>
      </c>
      <c r="E167" s="4">
        <f>IFERROR((C167/C166)-1,"")</f>
        <v>0</v>
      </c>
      <c r="F167" s="4">
        <f>IFERROR(D167-E167,"")</f>
        <v>0</v>
      </c>
      <c r="G167" s="4">
        <f>B167/MAX($B$4:B167)-1</f>
        <v>0</v>
      </c>
    </row>
    <row r="168" spans="1:7">
      <c r="A168" s="3">
        <v>46101</v>
      </c>
      <c r="B168" s="8">
        <v>103.7117077318371</v>
      </c>
      <c r="C168" s="8">
        <v>107.4638771897269</v>
      </c>
      <c r="D168" s="4">
        <f>IFERROR((B168/B167)-1,"")</f>
        <v>0</v>
      </c>
      <c r="E168" s="4">
        <f>IFERROR((C168/C167)-1,"")</f>
        <v>0</v>
      </c>
      <c r="F168" s="4">
        <f>IFERROR(D168-E168,"")</f>
        <v>0</v>
      </c>
      <c r="G168" s="4">
        <f>B168/MAX($B$4:B168)-1</f>
        <v>0</v>
      </c>
    </row>
    <row r="169" spans="1:7">
      <c r="A169" s="3">
        <v>46104</v>
      </c>
      <c r="B169" s="8">
        <v>104.7128639925036</v>
      </c>
      <c r="C169" s="8">
        <v>108.1343676171843</v>
      </c>
      <c r="D169" s="4">
        <f>IFERROR((B169/B168)-1,"")</f>
        <v>0</v>
      </c>
      <c r="E169" s="4">
        <f>IFERROR((C169/C168)-1,"")</f>
        <v>0</v>
      </c>
      <c r="F169" s="4">
        <f>IFERROR(D169-E169,"")</f>
        <v>0</v>
      </c>
      <c r="G169" s="4">
        <f>B169/MAX($B$4:B169)-1</f>
        <v>0</v>
      </c>
    </row>
    <row r="170" spans="1:7">
      <c r="A170" s="3">
        <v>46105</v>
      </c>
      <c r="B170" s="8">
        <v>105.9109366316486</v>
      </c>
      <c r="C170" s="8">
        <v>109.1660723310354</v>
      </c>
      <c r="D170" s="4">
        <f>IFERROR((B170/B169)-1,"")</f>
        <v>0</v>
      </c>
      <c r="E170" s="4">
        <f>IFERROR((C170/C169)-1,"")</f>
        <v>0</v>
      </c>
      <c r="F170" s="4">
        <f>IFERROR(D170-E170,"")</f>
        <v>0</v>
      </c>
      <c r="G170" s="4">
        <f>B170/MAX($B$4:B170)-1</f>
        <v>0</v>
      </c>
    </row>
    <row r="171" spans="1:7">
      <c r="A171" s="3">
        <v>46106</v>
      </c>
      <c r="B171" s="8">
        <v>106.8404093303936</v>
      </c>
      <c r="C171" s="8">
        <v>110.0741680753868</v>
      </c>
      <c r="D171" s="4">
        <f>IFERROR((B171/B170)-1,"")</f>
        <v>0</v>
      </c>
      <c r="E171" s="4">
        <f>IFERROR((C171/C170)-1,"")</f>
        <v>0</v>
      </c>
      <c r="F171" s="4">
        <f>IFERROR(D171-E171,"")</f>
        <v>0</v>
      </c>
      <c r="G171" s="4">
        <f>B171/MAX($B$4:B171)-1</f>
        <v>0</v>
      </c>
    </row>
    <row r="172" spans="1:7">
      <c r="A172" s="3">
        <v>46107</v>
      </c>
      <c r="B172" s="8">
        <v>106.0213201229615</v>
      </c>
      <c r="C172" s="8">
        <v>109.3556669046078</v>
      </c>
      <c r="D172" s="4">
        <f>IFERROR((B172/B171)-1,"")</f>
        <v>0</v>
      </c>
      <c r="E172" s="4">
        <f>IFERROR((C172/C171)-1,"")</f>
        <v>0</v>
      </c>
      <c r="F172" s="4">
        <f>IFERROR(D172-E172,"")</f>
        <v>0</v>
      </c>
      <c r="G172" s="4">
        <f>B172/MAX($B$4:B172)-1</f>
        <v>0</v>
      </c>
    </row>
    <row r="173" spans="1:7">
      <c r="A173" s="3">
        <v>46108</v>
      </c>
      <c r="B173" s="8">
        <v>105.8205922634249</v>
      </c>
      <c r="C173" s="8">
        <v>108.7792388278172</v>
      </c>
      <c r="D173" s="4">
        <f>IFERROR((B173/B172)-1,"")</f>
        <v>0</v>
      </c>
      <c r="E173" s="4">
        <f>IFERROR((C173/C172)-1,"")</f>
        <v>0</v>
      </c>
      <c r="F173" s="4">
        <f>IFERROR(D173-E173,"")</f>
        <v>0</v>
      </c>
      <c r="G173" s="4">
        <f>B173/MAX($B$4:B173)-1</f>
        <v>0</v>
      </c>
    </row>
    <row r="174" spans="1:7">
      <c r="A174" s="3">
        <v>46111</v>
      </c>
      <c r="B174" s="8">
        <v>105.1125089647147</v>
      </c>
      <c r="C174" s="8">
        <v>108.5306916090161</v>
      </c>
      <c r="D174" s="4">
        <f>IFERROR((B174/B173)-1,"")</f>
        <v>0</v>
      </c>
      <c r="E174" s="4">
        <f>IFERROR((C174/C173)-1,"")</f>
        <v>0</v>
      </c>
      <c r="F174" s="4">
        <f>IFERROR(D174-E174,"")</f>
        <v>0</v>
      </c>
      <c r="G174" s="4">
        <f>B174/MAX($B$4:B174)-1</f>
        <v>0</v>
      </c>
    </row>
    <row r="175" spans="1:7">
      <c r="A175" s="3">
        <v>46112</v>
      </c>
      <c r="B175" s="8">
        <v>104.5846680410057</v>
      </c>
      <c r="C175" s="8">
        <v>108.6729610758071</v>
      </c>
      <c r="D175" s="4">
        <f>IFERROR((B175/B174)-1,"")</f>
        <v>0</v>
      </c>
      <c r="E175" s="4">
        <f>IFERROR((C175/C174)-1,"")</f>
        <v>0</v>
      </c>
      <c r="F175" s="4">
        <f>IFERROR(D175-E175,"")</f>
        <v>0</v>
      </c>
      <c r="G175" s="4">
        <f>B175/MAX($B$4:B175)-1</f>
        <v>0</v>
      </c>
    </row>
    <row r="176" spans="1:7">
      <c r="A176" s="3">
        <v>46113</v>
      </c>
      <c r="B176" s="8">
        <v>105.4403077848672</v>
      </c>
      <c r="C176" s="8">
        <v>110.0921172476402</v>
      </c>
      <c r="D176" s="4">
        <f>IFERROR((B176/B175)-1,"")</f>
        <v>0</v>
      </c>
      <c r="E176" s="4">
        <f>IFERROR((C176/C175)-1,"")</f>
        <v>0</v>
      </c>
      <c r="F176" s="4">
        <f>IFERROR(D176-E176,"")</f>
        <v>0</v>
      </c>
      <c r="G176" s="4">
        <f>B176/MAX($B$4:B176)-1</f>
        <v>0</v>
      </c>
    </row>
    <row r="177" spans="1:7">
      <c r="A177" s="3">
        <v>46114</v>
      </c>
      <c r="B177" s="8">
        <v>103.9460325569805</v>
      </c>
      <c r="C177" s="8">
        <v>108.881807535654</v>
      </c>
      <c r="D177" s="4">
        <f>IFERROR((B177/B176)-1,"")</f>
        <v>0</v>
      </c>
      <c r="E177" s="4">
        <f>IFERROR((C177/C176)-1,"")</f>
        <v>0</v>
      </c>
      <c r="F177" s="4">
        <f>IFERROR(D177-E177,"")</f>
        <v>0</v>
      </c>
      <c r="G177" s="4">
        <f>B177/MAX($B$4:B177)-1</f>
        <v>0</v>
      </c>
    </row>
    <row r="178" spans="1:7">
      <c r="A178" s="3">
        <v>46115</v>
      </c>
      <c r="B178" s="8">
        <v>102.9018638226353</v>
      </c>
      <c r="C178" s="8">
        <v>107.0016909505716</v>
      </c>
      <c r="D178" s="4">
        <f>IFERROR((B178/B177)-1,"")</f>
        <v>0</v>
      </c>
      <c r="E178" s="4">
        <f>IFERROR((C178/C177)-1,"")</f>
        <v>0</v>
      </c>
      <c r="F178" s="4">
        <f>IFERROR(D178-E178,"")</f>
        <v>0</v>
      </c>
      <c r="G178" s="4">
        <f>B178/MAX($B$4:B178)-1</f>
        <v>0</v>
      </c>
    </row>
    <row r="179" spans="1:7">
      <c r="A179" s="3">
        <v>46118</v>
      </c>
      <c r="B179" s="8">
        <v>103.4711923816245</v>
      </c>
      <c r="C179" s="8">
        <v>107.40791167661</v>
      </c>
      <c r="D179" s="4">
        <f>IFERROR((B179/B178)-1,"")</f>
        <v>0</v>
      </c>
      <c r="E179" s="4">
        <f>IFERROR((C179/C178)-1,"")</f>
        <v>0</v>
      </c>
      <c r="F179" s="4">
        <f>IFERROR(D179-E179,"")</f>
        <v>0</v>
      </c>
      <c r="G179" s="4">
        <f>B179/MAX($B$4:B179)-1</f>
        <v>0</v>
      </c>
    </row>
    <row r="180" spans="1:7">
      <c r="A180" s="3">
        <v>46119</v>
      </c>
      <c r="B180" s="8">
        <v>101.2295513640627</v>
      </c>
      <c r="C180" s="8">
        <v>104.8051173796049</v>
      </c>
      <c r="D180" s="4">
        <f>IFERROR((B180/B179)-1,"")</f>
        <v>0</v>
      </c>
      <c r="E180" s="4">
        <f>IFERROR((C180/C179)-1,"")</f>
        <v>0</v>
      </c>
      <c r="F180" s="4">
        <f>IFERROR(D180-E180,"")</f>
        <v>0</v>
      </c>
      <c r="G180" s="4">
        <f>B180/MAX($B$4:B180)-1</f>
        <v>0</v>
      </c>
    </row>
    <row r="181" spans="1:7">
      <c r="A181" s="3">
        <v>46120</v>
      </c>
      <c r="B181" s="8">
        <v>101.624241934489</v>
      </c>
      <c r="C181" s="8">
        <v>105.7218372388107</v>
      </c>
      <c r="D181" s="4">
        <f>IFERROR((B181/B180)-1,"")</f>
        <v>0</v>
      </c>
      <c r="E181" s="4">
        <f>IFERROR((C181/C180)-1,"")</f>
        <v>0</v>
      </c>
      <c r="F181" s="4">
        <f>IFERROR(D181-E181,"")</f>
        <v>0</v>
      </c>
      <c r="G181" s="4">
        <f>B181/MAX($B$4:B181)-1</f>
        <v>0</v>
      </c>
    </row>
    <row r="182" spans="1:7">
      <c r="A182" s="3">
        <v>46121</v>
      </c>
      <c r="B182" s="8">
        <v>101.7213944156412</v>
      </c>
      <c r="C182" s="8">
        <v>105.7655690696635</v>
      </c>
      <c r="D182" s="4">
        <f>IFERROR((B182/B181)-1,"")</f>
        <v>0</v>
      </c>
      <c r="E182" s="4">
        <f>IFERROR((C182/C181)-1,"")</f>
        <v>0</v>
      </c>
      <c r="F182" s="4">
        <f>IFERROR(D182-E182,"")</f>
        <v>0</v>
      </c>
      <c r="G182" s="4">
        <f>B182/MAX($B$4:B182)-1</f>
        <v>0</v>
      </c>
    </row>
    <row r="183" spans="1:7">
      <c r="A183" s="3">
        <v>46122</v>
      </c>
      <c r="B183" s="8">
        <v>102.3927212904227</v>
      </c>
      <c r="C183" s="8">
        <v>106.7201282850741</v>
      </c>
      <c r="D183" s="4">
        <f>IFERROR((B183/B182)-1,"")</f>
        <v>0</v>
      </c>
      <c r="E183" s="4">
        <f>IFERROR((C183/C182)-1,"")</f>
        <v>0</v>
      </c>
      <c r="F183" s="4">
        <f>IFERROR(D183-E183,"")</f>
        <v>0</v>
      </c>
      <c r="G183" s="4">
        <f>B183/MAX($B$4:B183)-1</f>
        <v>0</v>
      </c>
    </row>
    <row r="184" spans="1:7">
      <c r="A184" s="3">
        <v>46125</v>
      </c>
      <c r="B184" s="8">
        <v>103.2955224227413</v>
      </c>
      <c r="C184" s="8">
        <v>108.0053240839657</v>
      </c>
      <c r="D184" s="4">
        <f>IFERROR((B184/B183)-1,"")</f>
        <v>0</v>
      </c>
      <c r="E184" s="4">
        <f>IFERROR((C184/C183)-1,"")</f>
        <v>0</v>
      </c>
      <c r="F184" s="4">
        <f>IFERROR(D184-E184,"")</f>
        <v>0</v>
      </c>
      <c r="G184" s="4">
        <f>B184/MAX($B$4:B184)-1</f>
        <v>0</v>
      </c>
    </row>
    <row r="185" spans="1:7">
      <c r="A185" s="3">
        <v>46126</v>
      </c>
      <c r="B185" s="8">
        <v>104.7048190868134</v>
      </c>
      <c r="C185" s="8">
        <v>108.8695069714192</v>
      </c>
      <c r="D185" s="4">
        <f>IFERROR((B185/B184)-1,"")</f>
        <v>0</v>
      </c>
      <c r="E185" s="4">
        <f>IFERROR((C185/C184)-1,"")</f>
        <v>0</v>
      </c>
      <c r="F185" s="4">
        <f>IFERROR(D185-E185,"")</f>
        <v>0</v>
      </c>
      <c r="G185" s="4">
        <f>B185/MAX($B$4:B185)-1</f>
        <v>0</v>
      </c>
    </row>
    <row r="186" spans="1:7">
      <c r="A186" s="3">
        <v>46127</v>
      </c>
      <c r="B186" s="8">
        <v>105.3249500752686</v>
      </c>
      <c r="C186" s="8">
        <v>109.1399590148943</v>
      </c>
      <c r="D186" s="4">
        <f>IFERROR((B186/B185)-1,"")</f>
        <v>0</v>
      </c>
      <c r="E186" s="4">
        <f>IFERROR((C186/C185)-1,"")</f>
        <v>0</v>
      </c>
      <c r="F186" s="4">
        <f>IFERROR(D186-E186,"")</f>
        <v>0</v>
      </c>
      <c r="G186" s="4">
        <f>B186/MAX($B$4:B186)-1</f>
        <v>0</v>
      </c>
    </row>
    <row r="187" spans="1:7">
      <c r="A187" s="3">
        <v>46128</v>
      </c>
      <c r="B187" s="8">
        <v>105.9245135408954</v>
      </c>
      <c r="C187" s="8">
        <v>109.975705527869</v>
      </c>
      <c r="D187" s="4">
        <f>IFERROR((B187/B186)-1,"")</f>
        <v>0</v>
      </c>
      <c r="E187" s="4">
        <f>IFERROR((C187/C186)-1,"")</f>
        <v>0</v>
      </c>
      <c r="F187" s="4">
        <f>IFERROR(D187-E187,"")</f>
        <v>0</v>
      </c>
      <c r="G187" s="4">
        <f>B187/MAX($B$4:B187)-1</f>
        <v>0</v>
      </c>
    </row>
    <row r="188" spans="1:7">
      <c r="A188" s="3">
        <v>46129</v>
      </c>
      <c r="B188" s="8">
        <v>106.6635024994704</v>
      </c>
      <c r="C188" s="8">
        <v>110.6909640196107</v>
      </c>
      <c r="D188" s="4">
        <f>IFERROR((B188/B187)-1,"")</f>
        <v>0</v>
      </c>
      <c r="E188" s="4">
        <f>IFERROR((C188/C187)-1,"")</f>
        <v>0</v>
      </c>
      <c r="F188" s="4">
        <f>IFERROR(D188-E188,"")</f>
        <v>0</v>
      </c>
      <c r="G188" s="4">
        <f>B188/MAX($B$4:B188)-1</f>
        <v>0</v>
      </c>
    </row>
    <row r="189" spans="1:7">
      <c r="A189" s="3">
        <v>46132</v>
      </c>
      <c r="B189" s="8">
        <v>107.1481849703124</v>
      </c>
      <c r="C189" s="8">
        <v>111.1678992572733</v>
      </c>
      <c r="D189" s="4">
        <f>IFERROR((B189/B188)-1,"")</f>
        <v>0</v>
      </c>
      <c r="E189" s="4">
        <f>IFERROR((C189/C188)-1,"")</f>
        <v>0</v>
      </c>
      <c r="F189" s="4">
        <f>IFERROR(D189-E189,"")</f>
        <v>0</v>
      </c>
      <c r="G189" s="4">
        <f>B189/MAX($B$4:B189)-1</f>
        <v>0</v>
      </c>
    </row>
    <row r="190" spans="1:7">
      <c r="A190" s="3">
        <v>46133</v>
      </c>
      <c r="B190" s="8">
        <v>107.5399596639051</v>
      </c>
      <c r="C190" s="8">
        <v>111.6552263436562</v>
      </c>
      <c r="D190" s="4">
        <f>IFERROR((B190/B189)-1,"")</f>
        <v>0</v>
      </c>
      <c r="E190" s="4">
        <f>IFERROR((C190/C189)-1,"")</f>
        <v>0</v>
      </c>
      <c r="F190" s="4">
        <f>IFERROR(D190-E190,"")</f>
        <v>0</v>
      </c>
      <c r="G190" s="4">
        <f>B190/MAX($B$4:B190)-1</f>
        <v>0</v>
      </c>
    </row>
    <row r="191" spans="1:7">
      <c r="A191" s="3">
        <v>46134</v>
      </c>
      <c r="B191" s="8">
        <v>105.8356314524805</v>
      </c>
      <c r="C191" s="8">
        <v>110.0370324012447</v>
      </c>
      <c r="D191" s="4">
        <f>IFERROR((B191/B190)-1,"")</f>
        <v>0</v>
      </c>
      <c r="E191" s="4">
        <f>IFERROR((C191/C190)-1,"")</f>
        <v>0</v>
      </c>
      <c r="F191" s="4">
        <f>IFERROR(D191-E191,"")</f>
        <v>0</v>
      </c>
      <c r="G191" s="4">
        <f>B191/MAX($B$4:B191)-1</f>
        <v>0</v>
      </c>
    </row>
    <row r="192" spans="1:7">
      <c r="A192" s="3">
        <v>46135</v>
      </c>
      <c r="B192" s="8">
        <v>106.7284695335452</v>
      </c>
      <c r="C192" s="8">
        <v>110.5894546811598</v>
      </c>
      <c r="D192" s="4">
        <f>IFERROR((B192/B191)-1,"")</f>
        <v>0</v>
      </c>
      <c r="E192" s="4">
        <f>IFERROR((C192/C191)-1,"")</f>
        <v>0</v>
      </c>
      <c r="F192" s="4">
        <f>IFERROR(D192-E192,"")</f>
        <v>0</v>
      </c>
      <c r="G192" s="4">
        <f>B192/MAX($B$4:B192)-1</f>
        <v>0</v>
      </c>
    </row>
    <row r="193" spans="1:7">
      <c r="A193" s="3">
        <v>46136</v>
      </c>
      <c r="B193" s="8">
        <v>106.6244873282556</v>
      </c>
      <c r="C193" s="8">
        <v>109.9447728075655</v>
      </c>
      <c r="D193" s="4">
        <f>IFERROR((B193/B192)-1,"")</f>
        <v>0</v>
      </c>
      <c r="E193" s="4">
        <f>IFERROR((C193/C192)-1,"")</f>
        <v>0</v>
      </c>
      <c r="F193" s="4">
        <f>IFERROR(D193-E193,"")</f>
        <v>0</v>
      </c>
      <c r="G193" s="4">
        <f>B193/MAX($B$4:B193)-1</f>
        <v>0</v>
      </c>
    </row>
    <row r="194" spans="1:7">
      <c r="A194" s="3">
        <v>46139</v>
      </c>
      <c r="B194" s="8">
        <v>105.2654750939131</v>
      </c>
      <c r="C194" s="8">
        <v>109.2698232184399</v>
      </c>
      <c r="D194" s="4">
        <f>IFERROR((B194/B193)-1,"")</f>
        <v>0</v>
      </c>
      <c r="E194" s="4">
        <f>IFERROR((C194/C193)-1,"")</f>
        <v>0</v>
      </c>
      <c r="F194" s="4">
        <f>IFERROR(D194-E194,"")</f>
        <v>0</v>
      </c>
      <c r="G194" s="4">
        <f>B194/MAX($B$4:B194)-1</f>
        <v>0</v>
      </c>
    </row>
    <row r="195" spans="1:7">
      <c r="A195" s="3">
        <v>46140</v>
      </c>
      <c r="B195" s="8">
        <v>104.2667933235131</v>
      </c>
      <c r="C195" s="8">
        <v>108.9076896632806</v>
      </c>
      <c r="D195" s="4">
        <f>IFERROR((B195/B194)-1,"")</f>
        <v>0</v>
      </c>
      <c r="E195" s="4">
        <f>IFERROR((C195/C194)-1,"")</f>
        <v>0</v>
      </c>
      <c r="F195" s="4">
        <f>IFERROR(D195-E195,"")</f>
        <v>0</v>
      </c>
      <c r="G195" s="4">
        <f>B195/MAX($B$4:B195)-1</f>
        <v>0</v>
      </c>
    </row>
    <row r="196" spans="1:7">
      <c r="A196" s="3">
        <v>46141</v>
      </c>
      <c r="B196" s="8">
        <v>105.2780606397925</v>
      </c>
      <c r="C196" s="8">
        <v>109.7811984745708</v>
      </c>
      <c r="D196" s="4">
        <f>IFERROR((B196/B195)-1,"")</f>
        <v>0</v>
      </c>
      <c r="E196" s="4">
        <f>IFERROR((C196/C195)-1,"")</f>
        <v>0</v>
      </c>
      <c r="F196" s="4">
        <f>IFERROR(D196-E196,"")</f>
        <v>0</v>
      </c>
      <c r="G196" s="4">
        <f>B196/MAX($B$4:B196)-1</f>
        <v>0</v>
      </c>
    </row>
    <row r="197" spans="1:7">
      <c r="A197" s="3">
        <v>46142</v>
      </c>
      <c r="B197" s="8">
        <v>104.5779359658214</v>
      </c>
      <c r="C197" s="8">
        <v>108.7077081685621</v>
      </c>
      <c r="D197" s="4">
        <f>IFERROR((B197/B196)-1,"")</f>
        <v>0</v>
      </c>
      <c r="E197" s="4">
        <f>IFERROR((C197/C196)-1,"")</f>
        <v>0</v>
      </c>
      <c r="F197" s="4">
        <f>IFERROR(D197-E197,"")</f>
        <v>0</v>
      </c>
      <c r="G197" s="4">
        <f>B197/MAX($B$4:B197)-1</f>
        <v>0</v>
      </c>
    </row>
    <row r="198" spans="1:7">
      <c r="A198" s="3">
        <v>46143</v>
      </c>
      <c r="B198" s="8">
        <v>103.579854037207</v>
      </c>
      <c r="C198" s="8">
        <v>107.5158334277536</v>
      </c>
      <c r="D198" s="4">
        <f>IFERROR((B198/B197)-1,"")</f>
        <v>0</v>
      </c>
      <c r="E198" s="4">
        <f>IFERROR((C198/C197)-1,"")</f>
        <v>0</v>
      </c>
      <c r="F198" s="4">
        <f>IFERROR(D198-E198,"")</f>
        <v>0</v>
      </c>
      <c r="G198" s="4">
        <f>B198/MAX($B$4:B198)-1</f>
        <v>0</v>
      </c>
    </row>
    <row r="199" spans="1:7">
      <c r="A199" s="3">
        <v>46146</v>
      </c>
      <c r="B199" s="8">
        <v>105.0604174824546</v>
      </c>
      <c r="C199" s="8">
        <v>109.259462973739</v>
      </c>
      <c r="D199" s="4">
        <f>IFERROR((B199/B198)-1,"")</f>
        <v>0</v>
      </c>
      <c r="E199" s="4">
        <f>IFERROR((C199/C198)-1,"")</f>
        <v>0</v>
      </c>
      <c r="F199" s="4">
        <f>IFERROR(D199-E199,"")</f>
        <v>0</v>
      </c>
      <c r="G199" s="4">
        <f>B199/MAX($B$4:B199)-1</f>
        <v>0</v>
      </c>
    </row>
    <row r="200" spans="1:7">
      <c r="A200" s="3">
        <v>46147</v>
      </c>
      <c r="B200" s="8">
        <v>105.5614002653452</v>
      </c>
      <c r="C200" s="8">
        <v>110.0620176157689</v>
      </c>
      <c r="D200" s="4">
        <f>IFERROR((B200/B199)-1,"")</f>
        <v>0</v>
      </c>
      <c r="E200" s="4">
        <f>IFERROR((C200/C199)-1,"")</f>
        <v>0</v>
      </c>
      <c r="F200" s="4">
        <f>IFERROR(D200-E200,"")</f>
        <v>0</v>
      </c>
      <c r="G200" s="4">
        <f>B200/MAX($B$4:B200)-1</f>
        <v>0</v>
      </c>
    </row>
    <row r="201" spans="1:7">
      <c r="A201" s="3">
        <v>46148</v>
      </c>
      <c r="B201" s="8">
        <v>104.7834781953823</v>
      </c>
      <c r="C201" s="8">
        <v>109.3977032976544</v>
      </c>
      <c r="D201" s="4">
        <f>IFERROR((B201/B200)-1,"")</f>
        <v>0</v>
      </c>
      <c r="E201" s="4">
        <f>IFERROR((C201/C200)-1,"")</f>
        <v>0</v>
      </c>
      <c r="F201" s="4">
        <f>IFERROR(D201-E201,"")</f>
        <v>0</v>
      </c>
      <c r="G201" s="4">
        <f>B201/MAX($B$4:B201)-1</f>
        <v>0</v>
      </c>
    </row>
    <row r="202" spans="1:7">
      <c r="A202" s="3">
        <v>46149</v>
      </c>
      <c r="B202" s="8">
        <v>103.7702602975066</v>
      </c>
      <c r="C202" s="8">
        <v>108.3306620014908</v>
      </c>
      <c r="D202" s="4">
        <f>IFERROR((B202/B201)-1,"")</f>
        <v>0</v>
      </c>
      <c r="E202" s="4">
        <f>IFERROR((C202/C201)-1,"")</f>
        <v>0</v>
      </c>
      <c r="F202" s="4">
        <f>IFERROR(D202-E202,"")</f>
        <v>0</v>
      </c>
      <c r="G202" s="4">
        <f>B202/MAX($B$4:B202)-1</f>
        <v>0</v>
      </c>
    </row>
    <row r="203" spans="1:7">
      <c r="A203" s="3">
        <v>46150</v>
      </c>
      <c r="B203" s="8">
        <v>105.0117741807228</v>
      </c>
      <c r="C203" s="8">
        <v>108.7527321210484</v>
      </c>
      <c r="D203" s="4">
        <f>IFERROR((B203/B202)-1,"")</f>
        <v>0</v>
      </c>
      <c r="E203" s="4">
        <f>IFERROR((C203/C202)-1,"")</f>
        <v>0</v>
      </c>
      <c r="F203" s="4">
        <f>IFERROR(D203-E203,"")</f>
        <v>0</v>
      </c>
      <c r="G203" s="4">
        <f>B203/MAX($B$4:B203)-1</f>
        <v>0</v>
      </c>
    </row>
    <row r="204" spans="1:7">
      <c r="A204" s="3">
        <v>46153</v>
      </c>
      <c r="B204" s="8">
        <v>105.0198236756904</v>
      </c>
      <c r="C204" s="8">
        <v>109.5368847954523</v>
      </c>
      <c r="D204" s="4">
        <f>IFERROR((B204/B203)-1,"")</f>
        <v>0</v>
      </c>
      <c r="E204" s="4">
        <f>IFERROR((C204/C203)-1,"")</f>
        <v>0</v>
      </c>
      <c r="F204" s="4">
        <f>IFERROR(D204-E204,"")</f>
        <v>0</v>
      </c>
      <c r="G204" s="4">
        <f>B204/MAX($B$4:B204)-1</f>
        <v>0</v>
      </c>
    </row>
    <row r="205" spans="1:7">
      <c r="A205" s="3">
        <v>46154</v>
      </c>
      <c r="B205" s="8">
        <v>104.7858399983576</v>
      </c>
      <c r="C205" s="8">
        <v>109.0763434218721</v>
      </c>
      <c r="D205" s="4">
        <f>IFERROR((B205/B204)-1,"")</f>
        <v>0</v>
      </c>
      <c r="E205" s="4">
        <f>IFERROR((C205/C204)-1,"")</f>
        <v>0</v>
      </c>
      <c r="F205" s="4">
        <f>IFERROR(D205-E205,"")</f>
        <v>0</v>
      </c>
      <c r="G205" s="4">
        <f>B205/MAX($B$4:B205)-1</f>
        <v>0</v>
      </c>
    </row>
    <row r="206" spans="1:7">
      <c r="A206" s="3">
        <v>46155</v>
      </c>
      <c r="B206" s="8">
        <v>105.6217401162558</v>
      </c>
      <c r="C206" s="8">
        <v>110.1037251662074</v>
      </c>
      <c r="D206" s="4">
        <f>IFERROR((B206/B205)-1,"")</f>
        <v>0</v>
      </c>
      <c r="E206" s="4">
        <f>IFERROR((C206/C205)-1,"")</f>
        <v>0</v>
      </c>
      <c r="F206" s="4">
        <f>IFERROR(D206-E206,"")</f>
        <v>0</v>
      </c>
      <c r="G206" s="4">
        <f>B206/MAX($B$4:B206)-1</f>
        <v>0</v>
      </c>
    </row>
    <row r="207" spans="1:7">
      <c r="A207" s="3">
        <v>46156</v>
      </c>
      <c r="B207" s="8">
        <v>103.5901177638708</v>
      </c>
      <c r="C207" s="8">
        <v>108.7244792310046</v>
      </c>
      <c r="D207" s="4">
        <f>IFERROR((B207/B206)-1,"")</f>
        <v>0</v>
      </c>
      <c r="E207" s="4">
        <f>IFERROR((C207/C206)-1,"")</f>
        <v>0</v>
      </c>
      <c r="F207" s="4">
        <f>IFERROR(D207-E207,"")</f>
        <v>0</v>
      </c>
      <c r="G207" s="4">
        <f>B207/MAX($B$4:B207)-1</f>
        <v>0</v>
      </c>
    </row>
    <row r="208" spans="1:7">
      <c r="A208" s="3">
        <v>46157</v>
      </c>
      <c r="B208" s="8">
        <v>103.3251540516807</v>
      </c>
      <c r="C208" s="8">
        <v>108.3738383370407</v>
      </c>
      <c r="D208" s="4">
        <f>IFERROR((B208/B207)-1,"")</f>
        <v>0</v>
      </c>
      <c r="E208" s="4">
        <f>IFERROR((C208/C207)-1,"")</f>
        <v>0</v>
      </c>
      <c r="F208" s="4">
        <f>IFERROR(D208-E208,"")</f>
        <v>0</v>
      </c>
      <c r="G208" s="4">
        <f>B208/MAX($B$4:B208)-1</f>
        <v>0</v>
      </c>
    </row>
    <row r="209" spans="1:7">
      <c r="A209" s="3">
        <v>46160</v>
      </c>
      <c r="B209" s="8">
        <v>104.3877210596311</v>
      </c>
      <c r="C209" s="8">
        <v>109.7593185368142</v>
      </c>
      <c r="D209" s="4">
        <f>IFERROR((B209/B208)-1,"")</f>
        <v>0</v>
      </c>
      <c r="E209" s="4">
        <f>IFERROR((C209/C208)-1,"")</f>
        <v>0</v>
      </c>
      <c r="F209" s="4">
        <f>IFERROR(D209-E209,"")</f>
        <v>0</v>
      </c>
      <c r="G209" s="4">
        <f>B209/MAX($B$4:B209)-1</f>
        <v>0</v>
      </c>
    </row>
    <row r="210" spans="1:7">
      <c r="A210" s="3">
        <v>46161</v>
      </c>
      <c r="B210" s="8">
        <v>104.2784502179086</v>
      </c>
      <c r="C210" s="8">
        <v>109.8785129892546</v>
      </c>
      <c r="D210" s="4">
        <f>IFERROR((B210/B209)-1,"")</f>
        <v>0</v>
      </c>
      <c r="E210" s="4">
        <f>IFERROR((C210/C209)-1,"")</f>
        <v>0</v>
      </c>
      <c r="F210" s="4">
        <f>IFERROR(D210-E210,"")</f>
        <v>0</v>
      </c>
      <c r="G210" s="4">
        <f>B210/MAX($B$4:B210)-1</f>
        <v>0</v>
      </c>
    </row>
    <row r="211" spans="1:7">
      <c r="A211" s="3">
        <v>46162</v>
      </c>
      <c r="B211" s="8">
        <v>103.4854069186207</v>
      </c>
      <c r="C211" s="8">
        <v>109.2413909401301</v>
      </c>
      <c r="D211" s="4">
        <f>IFERROR((B211/B210)-1,"")</f>
        <v>0</v>
      </c>
      <c r="E211" s="4">
        <f>IFERROR((C211/C210)-1,"")</f>
        <v>0</v>
      </c>
      <c r="F211" s="4">
        <f>IFERROR(D211-E211,"")</f>
        <v>0</v>
      </c>
      <c r="G211" s="4">
        <f>B211/MAX($B$4:B211)-1</f>
        <v>0</v>
      </c>
    </row>
    <row r="212" spans="1:7">
      <c r="A212" s="3">
        <v>46163</v>
      </c>
      <c r="B212" s="8">
        <v>103.464791467155</v>
      </c>
      <c r="C212" s="8">
        <v>108.8289640668529</v>
      </c>
      <c r="D212" s="4">
        <f>IFERROR((B212/B211)-1,"")</f>
        <v>0</v>
      </c>
      <c r="E212" s="4">
        <f>IFERROR((C212/C211)-1,"")</f>
        <v>0</v>
      </c>
      <c r="F212" s="4">
        <f>IFERROR(D212-E212,"")</f>
        <v>0</v>
      </c>
      <c r="G212" s="4">
        <f>B212/MAX($B$4:B212)-1</f>
        <v>0</v>
      </c>
    </row>
    <row r="213" spans="1:7">
      <c r="A213" s="3">
        <v>46164</v>
      </c>
      <c r="B213" s="8">
        <v>103.1409458132058</v>
      </c>
      <c r="C213" s="8">
        <v>108.611366323458</v>
      </c>
      <c r="D213" s="4">
        <f>IFERROR((B213/B212)-1,"")</f>
        <v>0</v>
      </c>
      <c r="E213" s="4">
        <f>IFERROR((C213/C212)-1,"")</f>
        <v>0</v>
      </c>
      <c r="F213" s="4">
        <f>IFERROR(D213-E213,"")</f>
        <v>0</v>
      </c>
      <c r="G213" s="4">
        <f>B213/MAX($B$4:B213)-1</f>
        <v>0</v>
      </c>
    </row>
    <row r="214" spans="1:7">
      <c r="A214" s="3">
        <v>46167</v>
      </c>
      <c r="B214" s="8">
        <v>103.5511002340277</v>
      </c>
      <c r="C214" s="8">
        <v>109.3150707805048</v>
      </c>
      <c r="D214" s="4">
        <f>IFERROR((B214/B213)-1,"")</f>
        <v>0</v>
      </c>
      <c r="E214" s="4">
        <f>IFERROR((C214/C213)-1,"")</f>
        <v>0</v>
      </c>
      <c r="F214" s="4">
        <f>IFERROR(D214-E214,"")</f>
        <v>0</v>
      </c>
      <c r="G214" s="4">
        <f>B214/MAX($B$4:B214)-1</f>
        <v>0</v>
      </c>
    </row>
    <row r="215" spans="1:7">
      <c r="A215" s="3">
        <v>46168</v>
      </c>
      <c r="B215" s="8">
        <v>105.5398330207693</v>
      </c>
      <c r="C215" s="8">
        <v>111.4809041313108</v>
      </c>
      <c r="D215" s="4">
        <f>IFERROR((B215/B214)-1,"")</f>
        <v>0</v>
      </c>
      <c r="E215" s="4">
        <f>IFERROR((C215/C214)-1,"")</f>
        <v>0</v>
      </c>
      <c r="F215" s="4">
        <f>IFERROR(D215-E215,"")</f>
        <v>0</v>
      </c>
      <c r="G215" s="4">
        <f>B215/MAX($B$4:B215)-1</f>
        <v>0</v>
      </c>
    </row>
    <row r="216" spans="1:7">
      <c r="A216" s="3">
        <v>46169</v>
      </c>
      <c r="B216" s="8">
        <v>106.2082161122262</v>
      </c>
      <c r="C216" s="8">
        <v>112.485382335033</v>
      </c>
      <c r="D216" s="4">
        <f>IFERROR((B216/B215)-1,"")</f>
        <v>0</v>
      </c>
      <c r="E216" s="4">
        <f>IFERROR((C216/C215)-1,"")</f>
        <v>0</v>
      </c>
      <c r="F216" s="4">
        <f>IFERROR(D216-E216,"")</f>
        <v>0</v>
      </c>
      <c r="G216" s="4">
        <f>B216/MAX($B$4:B216)-1</f>
        <v>0</v>
      </c>
    </row>
    <row r="217" spans="1:7">
      <c r="A217" s="3">
        <v>46170</v>
      </c>
      <c r="B217" s="8">
        <v>105.1323333418787</v>
      </c>
      <c r="C217" s="8">
        <v>110.7466739654154</v>
      </c>
      <c r="D217" s="4">
        <f>IFERROR((B217/B216)-1,"")</f>
        <v>0</v>
      </c>
      <c r="E217" s="4">
        <f>IFERROR((C217/C216)-1,"")</f>
        <v>0</v>
      </c>
      <c r="F217" s="4">
        <f>IFERROR(D217-E217,"")</f>
        <v>0</v>
      </c>
      <c r="G217" s="4">
        <f>B217/MAX($B$4:B217)-1</f>
        <v>0</v>
      </c>
    </row>
    <row r="218" spans="1:7">
      <c r="A218" s="3">
        <v>46171</v>
      </c>
      <c r="B218" s="8">
        <v>104.759675128764</v>
      </c>
      <c r="C218" s="8">
        <v>110.1416475891499</v>
      </c>
      <c r="D218" s="4">
        <f>IFERROR((B218/B217)-1,"")</f>
        <v>0</v>
      </c>
      <c r="E218" s="4">
        <f>IFERROR((C218/C217)-1,"")</f>
        <v>0</v>
      </c>
      <c r="F218" s="4">
        <f>IFERROR(D218-E218,"")</f>
        <v>0</v>
      </c>
      <c r="G218" s="4">
        <f>B218/MAX($B$4:B218)-1</f>
        <v>0</v>
      </c>
    </row>
    <row r="219" spans="1:7">
      <c r="A219" s="3">
        <v>46174</v>
      </c>
      <c r="B219" s="8">
        <v>105.3983068120996</v>
      </c>
      <c r="C219" s="8">
        <v>110.5983229172729</v>
      </c>
      <c r="D219" s="4">
        <f>IFERROR((B219/B218)-1,"")</f>
        <v>0</v>
      </c>
      <c r="E219" s="4">
        <f>IFERROR((C219/C218)-1,"")</f>
        <v>0</v>
      </c>
      <c r="F219" s="4">
        <f>IFERROR(D219-E219,"")</f>
        <v>0</v>
      </c>
      <c r="G219" s="4">
        <f>B219/MAX($B$4:B219)-1</f>
        <v>0</v>
      </c>
    </row>
    <row r="220" spans="1:7">
      <c r="A220" s="3">
        <v>46175</v>
      </c>
      <c r="B220" s="8">
        <v>104.7753077247103</v>
      </c>
      <c r="C220" s="8">
        <v>110.661712809176</v>
      </c>
      <c r="D220" s="4">
        <f>IFERROR((B220/B219)-1,"")</f>
        <v>0</v>
      </c>
      <c r="E220" s="4">
        <f>IFERROR((C220/C219)-1,"")</f>
        <v>0</v>
      </c>
      <c r="F220" s="4">
        <f>IFERROR(D220-E220,"")</f>
        <v>0</v>
      </c>
      <c r="G220" s="4">
        <f>B220/MAX($B$4:B220)-1</f>
        <v>0</v>
      </c>
    </row>
    <row r="221" spans="1:7">
      <c r="A221" s="3">
        <v>46176</v>
      </c>
      <c r="B221" s="8">
        <v>104.4910306737996</v>
      </c>
      <c r="C221" s="8">
        <v>110.853080738445</v>
      </c>
      <c r="D221" s="4">
        <f>IFERROR((B221/B220)-1,"")</f>
        <v>0</v>
      </c>
      <c r="E221" s="4">
        <f>IFERROR((C221/C220)-1,"")</f>
        <v>0</v>
      </c>
      <c r="F221" s="4">
        <f>IFERROR(D221-E221,"")</f>
        <v>0</v>
      </c>
      <c r="G221" s="4">
        <f>B221/MAX($B$4:B221)-1</f>
        <v>0</v>
      </c>
    </row>
    <row r="222" spans="1:7">
      <c r="A222" s="3">
        <v>46177</v>
      </c>
      <c r="B222" s="8">
        <v>104.2506436121944</v>
      </c>
      <c r="C222" s="8">
        <v>111.5302064381895</v>
      </c>
      <c r="D222" s="4">
        <f>IFERROR((B222/B221)-1,"")</f>
        <v>0</v>
      </c>
      <c r="E222" s="4">
        <f>IFERROR((C222/C221)-1,"")</f>
        <v>0</v>
      </c>
      <c r="F222" s="4">
        <f>IFERROR(D222-E222,"")</f>
        <v>0</v>
      </c>
      <c r="G222" s="4">
        <f>B222/MAX($B$4:B222)-1</f>
        <v>0</v>
      </c>
    </row>
    <row r="223" spans="1:7">
      <c r="A223" s="3">
        <v>46178</v>
      </c>
      <c r="B223" s="8">
        <v>104.0625233722657</v>
      </c>
      <c r="C223" s="8">
        <v>111.7383439596421</v>
      </c>
      <c r="D223" s="4">
        <f>IFERROR((B223/B222)-1,"")</f>
        <v>0</v>
      </c>
      <c r="E223" s="4">
        <f>IFERROR((C223/C222)-1,"")</f>
        <v>0</v>
      </c>
      <c r="F223" s="4">
        <f>IFERROR(D223-E223,"")</f>
        <v>0</v>
      </c>
      <c r="G223" s="4">
        <f>B223/MAX($B$4:B223)-1</f>
        <v>0</v>
      </c>
    </row>
    <row r="224" spans="1:7">
      <c r="A224" s="3">
        <v>46181</v>
      </c>
      <c r="B224" s="8">
        <v>102.233106157322</v>
      </c>
      <c r="C224" s="8">
        <v>109.866527763219</v>
      </c>
      <c r="D224" s="4">
        <f>IFERROR((B224/B223)-1,"")</f>
        <v>0</v>
      </c>
      <c r="E224" s="4">
        <f>IFERROR((C224/C223)-1,"")</f>
        <v>0</v>
      </c>
      <c r="F224" s="4">
        <f>IFERROR(D224-E224,"")</f>
        <v>0</v>
      </c>
      <c r="G224" s="4">
        <f>B224/MAX($B$4:B224)-1</f>
        <v>0</v>
      </c>
    </row>
    <row r="225" spans="1:7">
      <c r="A225" s="3">
        <v>46182</v>
      </c>
      <c r="B225" s="8">
        <v>102.2662888478376</v>
      </c>
      <c r="C225" s="8">
        <v>109.065332639724</v>
      </c>
      <c r="D225" s="4">
        <f>IFERROR((B225/B224)-1,"")</f>
        <v>0</v>
      </c>
      <c r="E225" s="4">
        <f>IFERROR((C225/C224)-1,"")</f>
        <v>0</v>
      </c>
      <c r="F225" s="4">
        <f>IFERROR(D225-E225,"")</f>
        <v>0</v>
      </c>
      <c r="G225" s="4">
        <f>B225/MAX($B$4:B225)-1</f>
        <v>0</v>
      </c>
    </row>
    <row r="226" spans="1:7">
      <c r="A226" s="3">
        <v>46183</v>
      </c>
      <c r="B226" s="8">
        <v>102.9021919624426</v>
      </c>
      <c r="C226" s="8">
        <v>110.4191760497365</v>
      </c>
      <c r="D226" s="4">
        <f>IFERROR((B226/B225)-1,"")</f>
        <v>0</v>
      </c>
      <c r="E226" s="4">
        <f>IFERROR((C226/C225)-1,"")</f>
        <v>0</v>
      </c>
      <c r="F226" s="4">
        <f>IFERROR(D226-E226,"")</f>
        <v>0</v>
      </c>
      <c r="G226" s="4">
        <f>B226/MAX($B$4:B226)-1</f>
        <v>0</v>
      </c>
    </row>
    <row r="227" spans="1:7">
      <c r="A227" s="3">
        <v>46184</v>
      </c>
      <c r="B227" s="8">
        <v>102.7486979591594</v>
      </c>
      <c r="C227" s="8">
        <v>110.3121770856595</v>
      </c>
      <c r="D227" s="4">
        <f>IFERROR((B227/B226)-1,"")</f>
        <v>0</v>
      </c>
      <c r="E227" s="4">
        <f>IFERROR((C227/C226)-1,"")</f>
        <v>0</v>
      </c>
      <c r="F227" s="4">
        <f>IFERROR(D227-E227,"")</f>
        <v>0</v>
      </c>
      <c r="G227" s="4">
        <f>B227/MAX($B$4:B227)-1</f>
        <v>0</v>
      </c>
    </row>
    <row r="228" spans="1:7">
      <c r="A228" s="3">
        <v>46185</v>
      </c>
      <c r="B228" s="8">
        <v>103.3910913653928</v>
      </c>
      <c r="C228" s="8">
        <v>110.1485905157627</v>
      </c>
      <c r="D228" s="4">
        <f>IFERROR((B228/B227)-1,"")</f>
        <v>0</v>
      </c>
      <c r="E228" s="4">
        <f>IFERROR((C228/C227)-1,"")</f>
        <v>0</v>
      </c>
      <c r="F228" s="4">
        <f>IFERROR(D228-E228,"")</f>
        <v>0</v>
      </c>
      <c r="G228" s="4">
        <f>B228/MAX($B$4:B228)-1</f>
        <v>0</v>
      </c>
    </row>
    <row r="229" spans="1:7">
      <c r="A229" s="3">
        <v>46188</v>
      </c>
      <c r="B229" s="8">
        <v>104.7620732386447</v>
      </c>
      <c r="C229" s="8">
        <v>112.3976377180882</v>
      </c>
      <c r="D229" s="4">
        <f>IFERROR((B229/B228)-1,"")</f>
        <v>0</v>
      </c>
      <c r="E229" s="4">
        <f>IFERROR((C229/C228)-1,"")</f>
        <v>0</v>
      </c>
      <c r="F229" s="4">
        <f>IFERROR(D229-E229,"")</f>
        <v>0</v>
      </c>
      <c r="G229" s="4">
        <f>B229/MAX($B$4:B229)-1</f>
        <v>0</v>
      </c>
    </row>
    <row r="230" spans="1:7">
      <c r="A230" s="3">
        <v>46189</v>
      </c>
      <c r="B230" s="8">
        <v>103.6838666587008</v>
      </c>
      <c r="C230" s="8">
        <v>111.3532643736148</v>
      </c>
      <c r="D230" s="4">
        <f>IFERROR((B230/B229)-1,"")</f>
        <v>0</v>
      </c>
      <c r="E230" s="4">
        <f>IFERROR((C230/C229)-1,"")</f>
        <v>0</v>
      </c>
      <c r="F230" s="4">
        <f>IFERROR(D230-E230,"")</f>
        <v>0</v>
      </c>
      <c r="G230" s="4">
        <f>B230/MAX($B$4:B230)-1</f>
        <v>0</v>
      </c>
    </row>
    <row r="231" spans="1:7">
      <c r="A231" s="3">
        <v>46190</v>
      </c>
      <c r="B231" s="8">
        <v>103.7101796067372</v>
      </c>
      <c r="C231" s="8">
        <v>111.7563455165973</v>
      </c>
      <c r="D231" s="4">
        <f>IFERROR((B231/B230)-1,"")</f>
        <v>0</v>
      </c>
      <c r="E231" s="4">
        <f>IFERROR((C231/C230)-1,"")</f>
        <v>0</v>
      </c>
      <c r="F231" s="4">
        <f>IFERROR(D231-E231,"")</f>
        <v>0</v>
      </c>
      <c r="G231" s="4">
        <f>B231/MAX($B$4:B231)-1</f>
        <v>0</v>
      </c>
    </row>
    <row r="232" spans="1:7">
      <c r="A232" s="3">
        <v>46191</v>
      </c>
      <c r="B232" s="8">
        <v>104.7086821357119</v>
      </c>
      <c r="C232" s="8">
        <v>113.5322708310589</v>
      </c>
      <c r="D232" s="4">
        <f>IFERROR((B232/B231)-1,"")</f>
        <v>0</v>
      </c>
      <c r="E232" s="4">
        <f>IFERROR((C232/C231)-1,"")</f>
        <v>0</v>
      </c>
      <c r="F232" s="4">
        <f>IFERROR(D232-E232,"")</f>
        <v>0</v>
      </c>
      <c r="G232" s="4">
        <f>B232/MAX($B$4:B232)-1</f>
        <v>0</v>
      </c>
    </row>
    <row r="233" spans="1:7">
      <c r="A233" s="3">
        <v>46192</v>
      </c>
      <c r="B233" s="8">
        <v>104.7072165667012</v>
      </c>
      <c r="C233" s="8">
        <v>112.9448869888665</v>
      </c>
      <c r="D233" s="4">
        <f>IFERROR((B233/B232)-1,"")</f>
        <v>0</v>
      </c>
      <c r="E233" s="4">
        <f>IFERROR((C233/C232)-1,"")</f>
        <v>0</v>
      </c>
      <c r="F233" s="4">
        <f>IFERROR(D233-E233,"")</f>
        <v>0</v>
      </c>
      <c r="G233" s="4">
        <f>B233/MAX($B$4:B233)-1</f>
        <v>0</v>
      </c>
    </row>
    <row r="234" spans="1:7">
      <c r="A234" s="3">
        <v>46195</v>
      </c>
      <c r="B234" s="8">
        <v>104.5197968717876</v>
      </c>
      <c r="C234" s="8">
        <v>112.1376915423468</v>
      </c>
      <c r="D234" s="4">
        <f>IFERROR((B234/B233)-1,"")</f>
        <v>0</v>
      </c>
      <c r="E234" s="4">
        <f>IFERROR((C234/C233)-1,"")</f>
        <v>0</v>
      </c>
      <c r="F234" s="4">
        <f>IFERROR(D234-E234,"")</f>
        <v>0</v>
      </c>
      <c r="G234" s="4">
        <f>B234/MAX($B$4:B234)-1</f>
        <v>0</v>
      </c>
    </row>
    <row r="235" spans="1:7">
      <c r="A235" s="3">
        <v>46196</v>
      </c>
      <c r="B235" s="8">
        <v>105.3117532931094</v>
      </c>
      <c r="C235" s="8">
        <v>113.2865025065107</v>
      </c>
      <c r="D235" s="4">
        <f>IFERROR((B235/B234)-1,"")</f>
        <v>0</v>
      </c>
      <c r="E235" s="4">
        <f>IFERROR((C235/C234)-1,"")</f>
        <v>0</v>
      </c>
      <c r="F235" s="4">
        <f>IFERROR(D235-E235,"")</f>
        <v>0</v>
      </c>
      <c r="G235" s="4">
        <f>B235/MAX($B$4:B235)-1</f>
        <v>0</v>
      </c>
    </row>
    <row r="236" spans="1:7">
      <c r="A236" s="3">
        <v>46197</v>
      </c>
      <c r="B236" s="8">
        <v>104.9102343870513</v>
      </c>
      <c r="C236" s="8">
        <v>113.0057068656319</v>
      </c>
      <c r="D236" s="4">
        <f>IFERROR((B236/B235)-1,"")</f>
        <v>0</v>
      </c>
      <c r="E236" s="4">
        <f>IFERROR((C236/C235)-1,"")</f>
        <v>0</v>
      </c>
      <c r="F236" s="4">
        <f>IFERROR(D236-E236,"")</f>
        <v>0</v>
      </c>
      <c r="G236" s="4">
        <f>B236/MAX($B$4:B236)-1</f>
        <v>0</v>
      </c>
    </row>
    <row r="237" spans="1:7">
      <c r="A237" s="3">
        <v>46198</v>
      </c>
      <c r="B237" s="8">
        <v>104.2358408295057</v>
      </c>
      <c r="C237" s="8">
        <v>112.7468363347011</v>
      </c>
      <c r="D237" s="4">
        <f>IFERROR((B237/B236)-1,"")</f>
        <v>0</v>
      </c>
      <c r="E237" s="4">
        <f>IFERROR((C237/C236)-1,"")</f>
        <v>0</v>
      </c>
      <c r="F237" s="4">
        <f>IFERROR(D237-E237,"")</f>
        <v>0</v>
      </c>
      <c r="G237" s="4">
        <f>B237/MAX($B$4:B237)-1</f>
        <v>0</v>
      </c>
    </row>
    <row r="238" spans="1:7">
      <c r="A238" s="3">
        <v>46199</v>
      </c>
      <c r="B238" s="8">
        <v>104.4325570095563</v>
      </c>
      <c r="C238" s="8">
        <v>113.3127894255622</v>
      </c>
      <c r="D238" s="4">
        <f>IFERROR((B238/B237)-1,"")</f>
        <v>0</v>
      </c>
      <c r="E238" s="4">
        <f>IFERROR((C238/C237)-1,"")</f>
        <v>0</v>
      </c>
      <c r="F238" s="4">
        <f>IFERROR(D238-E238,"")</f>
        <v>0</v>
      </c>
      <c r="G238" s="4">
        <f>B238/MAX($B$4:B238)-1</f>
        <v>0</v>
      </c>
    </row>
    <row r="239" spans="1:7">
      <c r="A239" s="3">
        <v>46202</v>
      </c>
      <c r="B239" s="8">
        <v>103.6289784588807</v>
      </c>
      <c r="C239" s="8">
        <v>112.4349715683887</v>
      </c>
      <c r="D239" s="4">
        <f>IFERROR((B239/B238)-1,"")</f>
        <v>0</v>
      </c>
      <c r="E239" s="4">
        <f>IFERROR((C239/C238)-1,"")</f>
        <v>0</v>
      </c>
      <c r="F239" s="4">
        <f>IFERROR(D239-E239,"")</f>
        <v>0</v>
      </c>
      <c r="G239" s="4">
        <f>B239/MAX($B$4:B239)-1</f>
        <v>0</v>
      </c>
    </row>
    <row r="240" spans="1:7">
      <c r="A240" s="3">
        <v>46203</v>
      </c>
      <c r="B240" s="8">
        <v>104.7054132224519</v>
      </c>
      <c r="C240" s="8">
        <v>113.318701777556</v>
      </c>
      <c r="D240" s="4">
        <f>IFERROR((B240/B239)-1,"")</f>
        <v>0</v>
      </c>
      <c r="E240" s="4">
        <f>IFERROR((C240/C239)-1,"")</f>
        <v>0</v>
      </c>
      <c r="F240" s="4">
        <f>IFERROR(D240-E240,"")</f>
        <v>0</v>
      </c>
      <c r="G240" s="4">
        <f>B240/MAX($B$4:B240)-1</f>
        <v>0</v>
      </c>
    </row>
    <row r="241" spans="1:7">
      <c r="A241" s="3">
        <v>46204</v>
      </c>
      <c r="B241" s="8">
        <v>105.0719294723209</v>
      </c>
      <c r="C241" s="8">
        <v>114.6871550502403</v>
      </c>
      <c r="D241" s="4">
        <f>IFERROR((B241/B240)-1,"")</f>
        <v>0</v>
      </c>
      <c r="E241" s="4">
        <f>IFERROR((C241/C240)-1,"")</f>
        <v>0</v>
      </c>
      <c r="F241" s="4">
        <f>IFERROR(D241-E241,"")</f>
        <v>0</v>
      </c>
      <c r="G241" s="4">
        <f>B241/MAX($B$4:B241)-1</f>
        <v>0</v>
      </c>
    </row>
    <row r="242" spans="1:7">
      <c r="A242" s="3">
        <v>46205</v>
      </c>
      <c r="B242" s="8">
        <v>103.0689627254</v>
      </c>
      <c r="C242" s="8">
        <v>112.0955716457459</v>
      </c>
      <c r="D242" s="4">
        <f>IFERROR((B242/B241)-1,"")</f>
        <v>0</v>
      </c>
      <c r="E242" s="4">
        <f>IFERROR((C242/C241)-1,"")</f>
        <v>0</v>
      </c>
      <c r="F242" s="4">
        <f>IFERROR(D242-E242,"")</f>
        <v>0</v>
      </c>
      <c r="G242" s="4">
        <f>B242/MAX($B$4:B242)-1</f>
        <v>0</v>
      </c>
    </row>
    <row r="243" spans="1:7">
      <c r="A243" s="3">
        <v>46206</v>
      </c>
      <c r="B243" s="8">
        <v>102.9859767024155</v>
      </c>
      <c r="C243" s="8">
        <v>111.7489286219405</v>
      </c>
      <c r="D243" s="4">
        <f>IFERROR((B243/B242)-1,"")</f>
        <v>0</v>
      </c>
      <c r="E243" s="4">
        <f>IFERROR((C243/C242)-1,"")</f>
        <v>0</v>
      </c>
      <c r="F243" s="4">
        <f>IFERROR(D243-E243,"")</f>
        <v>0</v>
      </c>
      <c r="G243" s="4">
        <f>B243/MAX($B$4:B243)-1</f>
        <v>0</v>
      </c>
    </row>
    <row r="244" spans="1:7">
      <c r="A244" s="3">
        <v>46209</v>
      </c>
      <c r="B244" s="8">
        <v>103.3893605044514</v>
      </c>
      <c r="C244" s="8">
        <v>111.9511291588167</v>
      </c>
      <c r="D244" s="4">
        <f>IFERROR((B244/B243)-1,"")</f>
        <v>0</v>
      </c>
      <c r="E244" s="4">
        <f>IFERROR((C244/C243)-1,"")</f>
        <v>0</v>
      </c>
      <c r="F244" s="4">
        <f>IFERROR(D244-E244,"")</f>
        <v>0</v>
      </c>
      <c r="G244" s="4">
        <f>B244/MAX($B$4:B244)-1</f>
        <v>0</v>
      </c>
    </row>
    <row r="245" spans="1:7">
      <c r="A245" s="3">
        <v>46210</v>
      </c>
      <c r="B245" s="8">
        <v>103.2710882792834</v>
      </c>
      <c r="C245" s="8">
        <v>112.0475508724886</v>
      </c>
      <c r="D245" s="4">
        <f>IFERROR((B245/B244)-1,"")</f>
        <v>0</v>
      </c>
      <c r="E245" s="4">
        <f>IFERROR((C245/C244)-1,"")</f>
        <v>0</v>
      </c>
      <c r="F245" s="4">
        <f>IFERROR(D245-E245,"")</f>
        <v>0</v>
      </c>
      <c r="G245" s="4">
        <f>B245/MAX($B$4:B245)-1</f>
        <v>0</v>
      </c>
    </row>
    <row r="246" spans="1:7">
      <c r="A246" s="3">
        <v>46211</v>
      </c>
      <c r="B246" s="8">
        <v>102.8996735716999</v>
      </c>
      <c r="C246" s="8">
        <v>112.1181509303971</v>
      </c>
      <c r="D246" s="4">
        <f>IFERROR((B246/B245)-1,"")</f>
        <v>0</v>
      </c>
      <c r="E246" s="4">
        <f>IFERROR((C246/C245)-1,"")</f>
        <v>0</v>
      </c>
      <c r="F246" s="4">
        <f>IFERROR(D246-E246,"")</f>
        <v>0</v>
      </c>
      <c r="G246" s="4">
        <f>B246/MAX($B$4:B246)-1</f>
        <v>0</v>
      </c>
    </row>
    <row r="247" spans="1:7">
      <c r="A247" s="3">
        <v>46212</v>
      </c>
      <c r="B247" s="8">
        <v>101.6746908812535</v>
      </c>
      <c r="C247" s="8">
        <v>110.7766872104507</v>
      </c>
      <c r="D247" s="4">
        <f>IFERROR((B247/B246)-1,"")</f>
        <v>0</v>
      </c>
      <c r="E247" s="4">
        <f>IFERROR((C247/C246)-1,"")</f>
        <v>0</v>
      </c>
      <c r="F247" s="4">
        <f>IFERROR(D247-E247,"")</f>
        <v>0</v>
      </c>
      <c r="G247" s="4">
        <f>B247/MAX($B$4:B247)-1</f>
        <v>0</v>
      </c>
    </row>
    <row r="248" spans="1:7">
      <c r="A248" s="3">
        <v>46213</v>
      </c>
      <c r="B248" s="8">
        <v>102.8343604767462</v>
      </c>
      <c r="C248" s="8">
        <v>111.5517380952488</v>
      </c>
      <c r="D248" s="4">
        <f>IFERROR((B248/B247)-1,"")</f>
        <v>0</v>
      </c>
      <c r="E248" s="4">
        <f>IFERROR((C248/C247)-1,"")</f>
        <v>0</v>
      </c>
      <c r="F248" s="4">
        <f>IFERROR(D248-E248,"")</f>
        <v>0</v>
      </c>
      <c r="G248" s="4">
        <f>B248/MAX($B$4:B248)-1</f>
        <v>0</v>
      </c>
    </row>
    <row r="249" spans="1:7">
      <c r="A249" s="3">
        <v>46216</v>
      </c>
      <c r="B249" s="8">
        <v>101.8063837463947</v>
      </c>
      <c r="C249" s="8">
        <v>110.5632776297252</v>
      </c>
      <c r="D249" s="4">
        <f>IFERROR((B249/B248)-1,"")</f>
        <v>0</v>
      </c>
      <c r="E249" s="4">
        <f>IFERROR((C249/C248)-1,"")</f>
        <v>0</v>
      </c>
      <c r="F249" s="4">
        <f>IFERROR(D249-E249,"")</f>
        <v>0</v>
      </c>
      <c r="G249" s="4">
        <f>B249/MAX($B$4:B249)-1</f>
        <v>0</v>
      </c>
    </row>
    <row r="250" spans="1:7">
      <c r="A250" s="3">
        <v>46217</v>
      </c>
      <c r="B250" s="8">
        <v>102.1922212935074</v>
      </c>
      <c r="C250" s="8">
        <v>111.7065359902181</v>
      </c>
      <c r="D250" s="4">
        <f>IFERROR((B250/B249)-1,"")</f>
        <v>0</v>
      </c>
      <c r="E250" s="4">
        <f>IFERROR((C250/C249)-1,"")</f>
        <v>0</v>
      </c>
      <c r="F250" s="4">
        <f>IFERROR(D250-E250,"")</f>
        <v>0</v>
      </c>
      <c r="G250" s="4">
        <f>B250/MAX($B$4:B250)-1</f>
        <v>0</v>
      </c>
    </row>
    <row r="251" spans="1:7">
      <c r="A251" s="3">
        <v>46218</v>
      </c>
      <c r="B251" s="8">
        <v>103.1245371452382</v>
      </c>
      <c r="C251" s="8">
        <v>112.8500869997174</v>
      </c>
      <c r="D251" s="4">
        <f>IFERROR((B251/B250)-1,"")</f>
        <v>0</v>
      </c>
      <c r="E251" s="4">
        <f>IFERROR((C251/C250)-1,"")</f>
        <v>0</v>
      </c>
      <c r="F251" s="4">
        <f>IFERROR(D251-E251,"")</f>
        <v>0</v>
      </c>
      <c r="G251" s="4">
        <f>B251/MAX($B$4:B251)-1</f>
        <v>0</v>
      </c>
    </row>
    <row r="252" spans="1:7">
      <c r="A252" s="3">
        <v>46219</v>
      </c>
      <c r="B252" s="8">
        <v>103.5829568292116</v>
      </c>
      <c r="C252" s="8">
        <v>113.840935434879</v>
      </c>
      <c r="D252" s="4">
        <f>IFERROR((B252/B251)-1,"")</f>
        <v>0</v>
      </c>
      <c r="E252" s="4">
        <f>IFERROR((C252/C251)-1,"")</f>
        <v>0</v>
      </c>
      <c r="F252" s="4">
        <f>IFERROR(D252-E252,"")</f>
        <v>0</v>
      </c>
      <c r="G252" s="4">
        <f>B252/MAX($B$4:B252)-1</f>
        <v>0</v>
      </c>
    </row>
    <row r="253" spans="1:7">
      <c r="A253" s="3">
        <v>46220</v>
      </c>
      <c r="B253" s="8">
        <v>102.5445374018646</v>
      </c>
      <c r="C253" s="8">
        <v>111.7155530229091</v>
      </c>
      <c r="D253" s="4">
        <f>IFERROR((B253/B252)-1,"")</f>
        <v>0</v>
      </c>
      <c r="E253" s="4">
        <f>IFERROR((C253/C252)-1,"")</f>
        <v>0</v>
      </c>
      <c r="F253" s="4">
        <f>IFERROR(D253-E253,"")</f>
        <v>0</v>
      </c>
      <c r="G253" s="4">
        <f>B253/MAX($B$4:B253)-1</f>
        <v>0</v>
      </c>
    </row>
    <row r="254" spans="1:7">
      <c r="A254" s="3">
        <v>46223</v>
      </c>
      <c r="B254" s="8">
        <v>102.6706523588907</v>
      </c>
      <c r="C254" s="8">
        <v>111.9358541807533</v>
      </c>
      <c r="D254" s="4">
        <f>IFERROR((B254/B253)-1,"")</f>
        <v>0</v>
      </c>
      <c r="E254" s="4">
        <f>IFERROR((C254/C253)-1,"")</f>
        <v>0</v>
      </c>
      <c r="F254" s="4">
        <f>IFERROR(D254-E254,"")</f>
        <v>0</v>
      </c>
      <c r="G254" s="4">
        <f>B254/MAX($B$4:B254)-1</f>
        <v>0</v>
      </c>
    </row>
    <row r="255" spans="1:7">
      <c r="A255" s="3">
        <v>46224</v>
      </c>
      <c r="B255" s="8">
        <v>101.1334099711217</v>
      </c>
      <c r="C255" s="8">
        <v>110.6463060451357</v>
      </c>
      <c r="D255" s="4">
        <f>IFERROR((B255/B254)-1,"")</f>
        <v>0</v>
      </c>
      <c r="E255" s="4">
        <f>IFERROR((C255/C254)-1,"")</f>
        <v>0</v>
      </c>
      <c r="F255" s="4">
        <f>IFERROR(D255-E255,"")</f>
        <v>0</v>
      </c>
      <c r="G255" s="4">
        <f>B255/MAX($B$4:B255)-1</f>
        <v>0</v>
      </c>
    </row>
    <row r="256" spans="1:7">
      <c r="A256" s="3">
        <v>46225</v>
      </c>
      <c r="B256" s="8">
        <v>100.0557038077226</v>
      </c>
      <c r="C256" s="8">
        <v>108.7726889573288</v>
      </c>
      <c r="D256" s="4">
        <f>IFERROR((B256/B255)-1,"")</f>
        <v>0</v>
      </c>
      <c r="E256" s="4">
        <f>IFERROR((C256/C255)-1,"")</f>
        <v>0</v>
      </c>
      <c r="F256" s="4">
        <f>IFERROR(D256-E256,"")</f>
        <v>0</v>
      </c>
      <c r="G256" s="4">
        <f>B256/MAX($B$4:B256)-1</f>
        <v>0</v>
      </c>
    </row>
    <row r="257" spans="1:7">
      <c r="A257" s="3">
        <v>46226</v>
      </c>
      <c r="B257" s="8">
        <v>98.10472677704188</v>
      </c>
      <c r="C257" s="8">
        <v>106.8033214143595</v>
      </c>
      <c r="D257" s="4">
        <f>IFERROR((B257/B256)-1,"")</f>
        <v>0</v>
      </c>
      <c r="E257" s="4">
        <f>IFERROR((C257/C256)-1,"")</f>
        <v>0</v>
      </c>
      <c r="F257" s="4">
        <f>IFERROR(D257-E257,"")</f>
        <v>0</v>
      </c>
      <c r="G257" s="4">
        <f>B257/MAX($B$4:B257)-1</f>
        <v>0</v>
      </c>
    </row>
    <row r="258" spans="1:7">
      <c r="A258" s="3">
        <v>46227</v>
      </c>
      <c r="B258" s="8">
        <v>98.13053012713537</v>
      </c>
      <c r="C258" s="8">
        <v>107.4266675457741</v>
      </c>
      <c r="D258" s="4">
        <f>IFERROR((B258/B257)-1,"")</f>
        <v>0</v>
      </c>
      <c r="E258" s="4">
        <f>IFERROR((C258/C257)-1,"")</f>
        <v>0</v>
      </c>
      <c r="F258" s="4">
        <f>IFERROR(D258-E258,"")</f>
        <v>0</v>
      </c>
      <c r="G258" s="4">
        <f>B258/MAX($B$4:B258)-1</f>
        <v>0</v>
      </c>
    </row>
    <row r="259" spans="1:7">
      <c r="A259" s="3">
        <v>46230</v>
      </c>
      <c r="B259" s="8">
        <v>99.04439789017876</v>
      </c>
      <c r="C259" s="8">
        <v>108.2570607424191</v>
      </c>
      <c r="D259" s="4">
        <f>IFERROR((B259/B258)-1,"")</f>
        <v>0</v>
      </c>
      <c r="E259" s="4">
        <f>IFERROR((C259/C258)-1,"")</f>
        <v>0</v>
      </c>
      <c r="F259" s="4">
        <f>IFERROR(D259-E259,"")</f>
        <v>0</v>
      </c>
      <c r="G259" s="4">
        <f>B259/MAX($B$4:B259)-1</f>
        <v>0</v>
      </c>
    </row>
    <row r="260" spans="1:7">
      <c r="A260" s="3">
        <v>46231</v>
      </c>
      <c r="B260" s="8">
        <v>97.86766033458422</v>
      </c>
      <c r="C260" s="8">
        <v>106.9221953943854</v>
      </c>
      <c r="D260" s="4">
        <f>IFERROR((B260/B259)-1,"")</f>
        <v>0</v>
      </c>
      <c r="E260" s="4">
        <f>IFERROR((C260/C259)-1,"")</f>
        <v>0</v>
      </c>
      <c r="F260" s="4">
        <f>IFERROR(D260-E260,"")</f>
        <v>0</v>
      </c>
      <c r="G260" s="4">
        <f>B260/MAX($B$4:B260)-1</f>
        <v>0</v>
      </c>
    </row>
    <row r="261" spans="1:7">
      <c r="A261" s="3">
        <v>46232</v>
      </c>
      <c r="B261" s="8">
        <v>97.62190860259625</v>
      </c>
      <c r="C261" s="8">
        <v>106.5347041652333</v>
      </c>
      <c r="D261" s="4">
        <f>IFERROR((B261/B260)-1,"")</f>
        <v>0</v>
      </c>
      <c r="E261" s="4">
        <f>IFERROR((C261/C260)-1,"")</f>
        <v>0</v>
      </c>
      <c r="F261" s="4">
        <f>IFERROR(D261-E261,"")</f>
        <v>0</v>
      </c>
      <c r="G261" s="4">
        <f>B261/MAX($B$4:B261)-1</f>
        <v>0</v>
      </c>
    </row>
    <row r="262" spans="1:7">
      <c r="A262" s="3">
        <v>46233</v>
      </c>
      <c r="B262" s="8">
        <v>97.78836769142222</v>
      </c>
      <c r="C262" s="8">
        <v>106.7515462702919</v>
      </c>
      <c r="D262" s="4">
        <f>IFERROR((B262/B261)-1,"")</f>
        <v>0</v>
      </c>
      <c r="E262" s="4">
        <f>IFERROR((C262/C261)-1,"")</f>
        <v>0</v>
      </c>
      <c r="F262" s="4">
        <f>IFERROR(D262-E262,"")</f>
        <v>0</v>
      </c>
      <c r="G262" s="4">
        <f>B262/MAX($B$4:B262)-1</f>
        <v>0</v>
      </c>
    </row>
    <row r="263" spans="1:7">
      <c r="A263" s="3">
        <v>46234</v>
      </c>
      <c r="B263" s="8">
        <v>98.52773657802869</v>
      </c>
      <c r="C263" s="8">
        <v>107.9176398917254</v>
      </c>
      <c r="D263" s="4">
        <f>IFERROR((B263/B262)-1,"")</f>
        <v>0</v>
      </c>
      <c r="E263" s="4">
        <f>IFERROR((C263/C262)-1,"")</f>
        <v>0</v>
      </c>
      <c r="F263" s="4">
        <f>IFERROR(D263-E263,"")</f>
        <v>0</v>
      </c>
      <c r="G263" s="4">
        <f>B263/MAX($B$4:B263)-1</f>
        <v>0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2" width="14.7109375" customWidth="1"/>
    <col min="3" max="3" width="34.7109375" customWidth="1"/>
    <col min="4" max="8" width="14.7109375" customWidth="1"/>
  </cols>
  <sheetData>
    <row r="1" spans="1:8">
      <c r="A1" s="1" t="s">
        <v>130</v>
      </c>
      <c r="B1" s="1"/>
      <c r="C1" s="1"/>
      <c r="D1" s="1"/>
      <c r="E1" s="1"/>
      <c r="F1" s="1"/>
      <c r="G1" s="1"/>
      <c r="H1" s="1"/>
    </row>
    <row r="2" spans="1:8">
      <c r="A2" s="7" t="s">
        <v>131</v>
      </c>
    </row>
    <row r="4" spans="1:8">
      <c r="A4" s="5" t="s">
        <v>96</v>
      </c>
      <c r="B4" s="5" t="s">
        <v>132</v>
      </c>
      <c r="C4" s="5" t="s">
        <v>3</v>
      </c>
      <c r="D4" s="5" t="s">
        <v>133</v>
      </c>
      <c r="E4" s="5" t="s">
        <v>134</v>
      </c>
      <c r="F4" s="5" t="s">
        <v>135</v>
      </c>
      <c r="G4" s="5" t="s">
        <v>136</v>
      </c>
      <c r="H4" s="5" t="s">
        <v>137</v>
      </c>
    </row>
    <row r="5" spans="1:8">
      <c r="A5" t="s">
        <v>100</v>
      </c>
      <c r="B5" t="s">
        <v>138</v>
      </c>
      <c r="C5" t="s">
        <v>101</v>
      </c>
      <c r="D5" s="4">
        <v>0.025</v>
      </c>
      <c r="E5" s="4">
        <v>0.85</v>
      </c>
      <c r="F5" s="4" cm="1">
        <f t="array" ref="F5">IFERROR(IF($B5="SECTEUR",SUMIFS(TablePositions[Exposition Abs],TablePositions[Secteur],PROPER(MID($A5,9,50)))/SUM(TablePositions[Exposition Abs]),_xlfn.XLOOKUP($A5,Synthese!$A$10:$A$23,Synthese!$C$10:$C$23,"N/D")),"N/D")</f>
        <v>0</v>
      </c>
      <c r="G5" s="4">
        <f>IFERROR(ABS(F5)/ABS(D5),"N/D")</f>
        <v>0</v>
      </c>
      <c r="H5">
        <f>IF(G5&gt;=1,"DEPASSEMENT",IF(G5&gt;=E5,"ALERTE","OK"))</f>
        <v>0</v>
      </c>
    </row>
    <row r="6" spans="1:8">
      <c r="A6" t="s">
        <v>108</v>
      </c>
      <c r="B6" t="s">
        <v>139</v>
      </c>
      <c r="C6" t="s">
        <v>140</v>
      </c>
      <c r="D6" s="4">
        <v>0.04</v>
      </c>
      <c r="E6" s="4">
        <v>0.85</v>
      </c>
      <c r="F6" s="4" cm="1">
        <f t="array" ref="F6">IFERROR(IF($B6="SECTEUR",SUMIFS(TablePositions[Exposition Abs],TablePositions[Secteur],PROPER(MID($A6,9,50)))/SUM(TablePositions[Exposition Abs]),_xlfn.XLOOKUP($A6,Synthese!$A$10:$A$23,Synthese!$C$10:$C$23,"N/D")),"N/D")</f>
        <v>0</v>
      </c>
      <c r="G6" s="4">
        <f>IFERROR(ABS(F6)/ABS(D6),"N/D")</f>
        <v>0</v>
      </c>
      <c r="H6">
        <f>IF(G6&gt;=1,"DEPASSEMENT",IF(G6&gt;=E6,"ALERTE","OK"))</f>
        <v>0</v>
      </c>
    </row>
    <row r="7" spans="1:8">
      <c r="A7" t="s">
        <v>118</v>
      </c>
      <c r="B7" t="s">
        <v>141</v>
      </c>
      <c r="C7" t="s">
        <v>119</v>
      </c>
      <c r="D7" s="4">
        <v>0.12</v>
      </c>
      <c r="E7" s="4">
        <v>0.85</v>
      </c>
      <c r="F7" s="4" cm="1">
        <f t="array" ref="F7">IFERROR(IF($B7="SECTEUR",SUMIFS(TablePositions[Exposition Abs],TablePositions[Secteur],PROPER(MID($A7,9,50)))/SUM(TablePositions[Exposition Abs]),_xlfn.XLOOKUP($A7,Synthese!$A$10:$A$23,Synthese!$C$10:$C$23,"N/D")),"N/D")</f>
        <v>0</v>
      </c>
      <c r="G7" s="4">
        <f>IFERROR(ABS(F7)/ABS(D7),"N/D")</f>
        <v>0</v>
      </c>
      <c r="H7">
        <f>IF(G7&gt;=1,"DEPASSEMENT",IF(G7&gt;=E7,"ALERTE","OK"))</f>
        <v>0</v>
      </c>
    </row>
    <row r="8" spans="1:8">
      <c r="A8" t="s">
        <v>142</v>
      </c>
      <c r="B8" t="s">
        <v>143</v>
      </c>
      <c r="C8" t="s">
        <v>144</v>
      </c>
      <c r="D8" s="4">
        <v>0.2</v>
      </c>
      <c r="E8" s="4">
        <v>0.85</v>
      </c>
      <c r="F8" s="4" cm="1">
        <f t="array" ref="F8">IFERROR(IF($B8="SECTEUR",SUMIFS(TablePositions[Exposition Abs],TablePositions[Secteur],PROPER(MID($A8,9,50)))/SUM(TablePositions[Exposition Abs]),_xlfn.XLOOKUP($A8,Synthese!$A$10:$A$23,Synthese!$C$10:$C$23,"N/D")),"N/D")</f>
        <v>0</v>
      </c>
      <c r="G8" s="4">
        <f>IFERROR(ABS(F8)/ABS(D8),"N/D")</f>
        <v>0</v>
      </c>
      <c r="H8">
        <f>IF(G8&gt;=1,"DEPASSEMENT",IF(G8&gt;=E8,"ALERTE","OK"))</f>
        <v>0</v>
      </c>
    </row>
    <row r="9" spans="1:8">
      <c r="A9" t="s">
        <v>145</v>
      </c>
      <c r="B9" t="s">
        <v>143</v>
      </c>
      <c r="C9" t="s">
        <v>146</v>
      </c>
      <c r="D9" s="4">
        <v>0.2</v>
      </c>
      <c r="E9" s="4">
        <v>0.85</v>
      </c>
      <c r="F9" s="4" cm="1">
        <f t="array" ref="F9">IFERROR(IF($B9="SECTEUR",SUMIFS(TablePositions[Exposition Abs],TablePositions[Secteur],PROPER(MID($A9,9,50)))/SUM(TablePositions[Exposition Abs]),_xlfn.XLOOKUP($A9,Synthese!$A$10:$A$23,Synthese!$C$10:$C$23,"N/D")),"N/D")</f>
        <v>0</v>
      </c>
      <c r="G9" s="4">
        <f>IFERROR(ABS(F9)/ABS(D9),"N/D")</f>
        <v>0</v>
      </c>
      <c r="H9">
        <f>IF(G9&gt;=1,"DEPASSEMENT",IF(G9&gt;=E9,"ALERTE","OK"))</f>
        <v>0</v>
      </c>
    </row>
    <row r="10" spans="1:8">
      <c r="A10" t="s">
        <v>147</v>
      </c>
      <c r="B10" t="s">
        <v>143</v>
      </c>
      <c r="C10" t="s">
        <v>148</v>
      </c>
      <c r="D10" s="4">
        <v>0.2815</v>
      </c>
      <c r="E10" s="4">
        <v>0.85</v>
      </c>
      <c r="F10" s="4" cm="1">
        <f t="array" ref="F10">IFERROR(IF($B10="SECTEUR",SUMIFS(TablePositions[Exposition Abs],TablePositions[Secteur],PROPER(MID($A10,9,50)))/SUM(TablePositions[Exposition Abs]),_xlfn.XLOOKUP($A10,Synthese!$A$10:$A$23,Synthese!$C$10:$C$23,"N/D")),"N/D")</f>
        <v>0</v>
      </c>
      <c r="G10" s="4">
        <f>IFERROR(ABS(F10)/ABS(D10),"N/D")</f>
        <v>0</v>
      </c>
      <c r="H10">
        <f>IF(G10&gt;=1,"DEPASSEMENT",IF(G10&gt;=E10,"ALERTE","OK"))</f>
        <v>0</v>
      </c>
    </row>
    <row r="11" spans="1:8">
      <c r="A11" t="s">
        <v>149</v>
      </c>
      <c r="B11" t="s">
        <v>143</v>
      </c>
      <c r="C11" t="s">
        <v>150</v>
      </c>
      <c r="D11" s="4">
        <v>0.2</v>
      </c>
      <c r="E11" s="4">
        <v>0.85</v>
      </c>
      <c r="F11" s="4" cm="1">
        <f t="array" ref="F11">IFERROR(IF($B11="SECTEUR",SUMIFS(TablePositions[Exposition Abs],TablePositions[Secteur],PROPER(MID($A11,9,50)))/SUM(TablePositions[Exposition Abs]),_xlfn.XLOOKUP($A11,Synthese!$A$10:$A$23,Synthese!$C$10:$C$23,"N/D")),"N/D")</f>
        <v>0</v>
      </c>
      <c r="G11" s="4">
        <f>IFERROR(ABS(F11)/ABS(D11),"N/D")</f>
        <v>0</v>
      </c>
      <c r="H11">
        <f>IF(G11&gt;=1,"DEPASSEMENT",IF(G11&gt;=E11,"ALERTE","OK"))</f>
        <v>0</v>
      </c>
    </row>
    <row r="12" spans="1:8">
      <c r="A12" t="s">
        <v>151</v>
      </c>
      <c r="B12" t="s">
        <v>143</v>
      </c>
      <c r="C12" t="s">
        <v>152</v>
      </c>
      <c r="D12" s="4">
        <v>0.2</v>
      </c>
      <c r="E12" s="4">
        <v>0.85</v>
      </c>
      <c r="F12" s="4" cm="1">
        <f t="array" ref="F12">IFERROR(IF($B12="SECTEUR",SUMIFS(TablePositions[Exposition Abs],TablePositions[Secteur],PROPER(MID($A12,9,50)))/SUM(TablePositions[Exposition Abs]),_xlfn.XLOOKUP($A12,Synthese!$A$10:$A$23,Synthese!$C$10:$C$23,"N/D")),"N/D")</f>
        <v>0</v>
      </c>
      <c r="G12" s="4">
        <f>IFERROR(ABS(F12)/ABS(D12),"N/D")</f>
        <v>0</v>
      </c>
      <c r="H12">
        <f>IF(G12&gt;=1,"DEPASSEMENT",IF(G12&gt;=E12,"ALERTE","OK"))</f>
        <v>0</v>
      </c>
    </row>
    <row r="13" spans="1:8">
      <c r="A13" t="s">
        <v>153</v>
      </c>
      <c r="B13" t="s">
        <v>143</v>
      </c>
      <c r="C13" t="s">
        <v>154</v>
      </c>
      <c r="D13" s="4">
        <v>0.2</v>
      </c>
      <c r="E13" s="4">
        <v>0.85</v>
      </c>
      <c r="F13" s="4" cm="1">
        <f t="array" ref="F13">IFERROR(IF($B13="SECTEUR",SUMIFS(TablePositions[Exposition Abs],TablePositions[Secteur],PROPER(MID($A13,9,50)))/SUM(TablePositions[Exposition Abs]),_xlfn.XLOOKUP($A13,Synthese!$A$10:$A$23,Synthese!$C$10:$C$23,"N/D")),"N/D")</f>
        <v>0</v>
      </c>
      <c r="G13" s="4">
        <f>IFERROR(ABS(F13)/ABS(D13),"N/D")</f>
        <v>0</v>
      </c>
      <c r="H13">
        <f>IF(G13&gt;=1,"DEPASSEMENT",IF(G13&gt;=E13,"ALERTE","OK"))</f>
        <v>0</v>
      </c>
    </row>
    <row r="14" spans="1:8">
      <c r="A14" t="s">
        <v>155</v>
      </c>
      <c r="B14" t="s">
        <v>143</v>
      </c>
      <c r="C14" t="s">
        <v>156</v>
      </c>
      <c r="D14" s="4">
        <v>0.2</v>
      </c>
      <c r="E14" s="4">
        <v>0.85</v>
      </c>
      <c r="F14" s="4" cm="1">
        <f t="array" ref="F14">IFERROR(IF($B14="SECTEUR",SUMIFS(TablePositions[Exposition Abs],TablePositions[Secteur],PROPER(MID($A14,9,50)))/SUM(TablePositions[Exposition Abs]),_xlfn.XLOOKUP($A14,Synthese!$A$10:$A$23,Synthese!$C$10:$C$23,"N/D")),"N/D")</f>
        <v>0</v>
      </c>
      <c r="G14" s="4">
        <f>IFERROR(ABS(F14)/ABS(D14),"N/D")</f>
        <v>0</v>
      </c>
      <c r="H14">
        <f>IF(G14&gt;=1,"DEPASSEMENT",IF(G14&gt;=E14,"ALERTE","OK"))</f>
        <v>0</v>
      </c>
    </row>
    <row r="15" spans="1:8">
      <c r="A15" t="s">
        <v>157</v>
      </c>
      <c r="B15" t="s">
        <v>143</v>
      </c>
      <c r="C15" t="s">
        <v>158</v>
      </c>
      <c r="D15" s="4">
        <v>0.2</v>
      </c>
      <c r="E15" s="4">
        <v>0.85</v>
      </c>
      <c r="F15" s="4" cm="1">
        <f t="array" ref="F15">IFERROR(IF($B15="SECTEUR",SUMIFS(TablePositions[Exposition Abs],TablePositions[Secteur],PROPER(MID($A15,9,50)))/SUM(TablePositions[Exposition Abs]),_xlfn.XLOOKUP($A15,Synthese!$A$10:$A$23,Synthese!$C$10:$C$23,"N/D")),"N/D")</f>
        <v>0</v>
      </c>
      <c r="G15" s="4">
        <f>IFERROR(ABS(F15)/ABS(D15),"N/D")</f>
        <v>0</v>
      </c>
      <c r="H15">
        <f>IF(G15&gt;=1,"DEPASSEMENT",IF(G15&gt;=E15,"ALERTE","OK"))</f>
        <v>0</v>
      </c>
    </row>
  </sheetData>
  <sheetProtection sheet="1" objects="1" scenarios="1"/>
  <mergeCells count="1">
    <mergeCell ref="A1:H1"/>
  </mergeCells>
  <conditionalFormatting sqref="H5:H15">
    <cfRule type="expression" dxfId="0" priority="1">
      <formula>$G5&gt;=1</formula>
    </cfRule>
    <cfRule type="expression" dxfId="1" priority="2">
      <formula>AND($G5&gt;=$E5,$G5&lt;1)</formula>
    </cfRule>
    <cfRule type="expression" dxfId="2" priority="3">
      <formula>$G5&lt;$E5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2" width="22.7109375" customWidth="1"/>
  </cols>
  <sheetData>
    <row r="1" spans="1:6">
      <c r="A1" s="1" t="s">
        <v>159</v>
      </c>
      <c r="B1" s="1"/>
      <c r="C1" s="1"/>
      <c r="D1" s="1"/>
      <c r="E1" s="1"/>
      <c r="F1" s="1"/>
    </row>
    <row r="3" spans="1:6">
      <c r="A3" s="5" t="s">
        <v>4</v>
      </c>
      <c r="B3" s="5" t="s">
        <v>121</v>
      </c>
    </row>
    <row r="4" spans="1:6">
      <c r="A4" t="s">
        <v>47</v>
      </c>
      <c r="B4" s="9">
        <f>SUMIFS(TablePositions[Exposition Abs],TablePositions[Secteur],"Consommation")</f>
        <v>0</v>
      </c>
    </row>
    <row r="5" spans="1:6">
      <c r="A5" t="s">
        <v>24</v>
      </c>
      <c r="B5" s="9">
        <f>SUMIFS(TablePositions[Exposition Abs],TablePositions[Secteur],"Energie")</f>
        <v>0</v>
      </c>
    </row>
    <row r="6" spans="1:6">
      <c r="A6" t="s">
        <v>53</v>
      </c>
      <c r="B6" s="9">
        <f>SUMIFS(TablePositions[Exposition Abs],TablePositions[Secteur],"Finance")</f>
        <v>0</v>
      </c>
    </row>
    <row r="7" spans="1:6">
      <c r="A7" t="s">
        <v>50</v>
      </c>
      <c r="B7" s="9">
        <f>SUMIFS(TablePositions[Exposition Abs],TablePositions[Secteur],"Industrie")</f>
        <v>0</v>
      </c>
    </row>
    <row r="8" spans="1:6">
      <c r="A8" t="s">
        <v>35</v>
      </c>
      <c r="B8" s="9">
        <f>SUMIFS(TablePositions[Exposition Abs],TablePositions[Secteur],"Materiaux")</f>
        <v>0</v>
      </c>
    </row>
    <row r="9" spans="1:6">
      <c r="A9" t="s">
        <v>19</v>
      </c>
      <c r="B9" s="9">
        <f>SUMIFS(TablePositions[Exposition Abs],TablePositions[Secteur],"Sante")</f>
        <v>0</v>
      </c>
    </row>
    <row r="10" spans="1:6">
      <c r="A10" t="s">
        <v>14</v>
      </c>
      <c r="B10" s="9">
        <f>SUMIFS(TablePositions[Exposition Abs],TablePositions[Secteur],"Technologie")</f>
        <v>0</v>
      </c>
    </row>
    <row r="11" spans="1:6">
      <c r="A11" t="s">
        <v>40</v>
      </c>
      <c r="B11" s="9">
        <f>SUMIFS(TablePositions[Exposition Abs],TablePositions[Secteur],"Telecommunications")</f>
        <v>0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cols>
    <col min="1" max="1" width="28.7109375" customWidth="1"/>
    <col min="2" max="2" width="70.7109375" customWidth="1"/>
  </cols>
  <sheetData>
    <row r="1" spans="1:4">
      <c r="A1" s="1" t="s">
        <v>160</v>
      </c>
      <c r="B1" s="1"/>
      <c r="C1" s="1"/>
      <c r="D1" s="1"/>
    </row>
    <row r="3" spans="1:4">
      <c r="A3" s="2" t="s">
        <v>161</v>
      </c>
      <c r="B3" t="s">
        <v>162</v>
      </c>
    </row>
    <row r="4" spans="1:4">
      <c r="A4" s="2" t="s">
        <v>163</v>
      </c>
      <c r="B4" t="s">
        <v>164</v>
      </c>
    </row>
    <row r="5" spans="1:4">
      <c r="A5" s="2" t="s">
        <v>165</v>
      </c>
      <c r="B5" t="s">
        <v>166</v>
      </c>
    </row>
    <row r="6" spans="1:4">
      <c r="A6" s="2" t="s">
        <v>167</v>
      </c>
      <c r="B6" t="s">
        <v>168</v>
      </c>
    </row>
    <row r="7" spans="1:4">
      <c r="A7" s="2" t="s">
        <v>169</v>
      </c>
      <c r="B7" t="s">
        <v>170</v>
      </c>
    </row>
    <row r="8" spans="1:4">
      <c r="A8" s="2" t="s">
        <v>171</v>
      </c>
      <c r="B8" t="s">
        <v>172</v>
      </c>
    </row>
    <row r="9" spans="1:4">
      <c r="A9" s="2" t="s">
        <v>173</v>
      </c>
      <c r="B9" t="s">
        <v>174</v>
      </c>
    </row>
    <row r="10" spans="1:4">
      <c r="A10" s="2" t="s">
        <v>175</v>
      </c>
      <c r="B10" t="s">
        <v>176</v>
      </c>
    </row>
    <row r="11" spans="1:4">
      <c r="A11" s="2" t="s">
        <v>177</v>
      </c>
      <c r="B11" t="s">
        <v>178</v>
      </c>
    </row>
    <row r="14" spans="1:4">
      <c r="A14" s="10" t="s">
        <v>179</v>
      </c>
    </row>
    <row r="15" spans="1:4">
      <c r="A15" s="5" t="s">
        <v>180</v>
      </c>
      <c r="B15" s="5" t="s">
        <v>181</v>
      </c>
    </row>
    <row r="16" spans="1:4">
      <c r="A16" t="s">
        <v>182</v>
      </c>
      <c r="B16" t="s">
        <v>183</v>
      </c>
    </row>
    <row r="17" spans="1:2">
      <c r="A17" t="s">
        <v>184</v>
      </c>
      <c r="B17" t="s">
        <v>185</v>
      </c>
    </row>
    <row r="18" spans="1:2">
      <c r="A18" t="s">
        <v>186</v>
      </c>
      <c r="B18" t="s">
        <v>187</v>
      </c>
    </row>
    <row r="19" spans="1:2">
      <c r="A19" t="s">
        <v>188</v>
      </c>
      <c r="B19" t="s">
        <v>189</v>
      </c>
    </row>
    <row r="20" spans="1:2">
      <c r="A20" t="s">
        <v>190</v>
      </c>
      <c r="B20" t="s">
        <v>191</v>
      </c>
    </row>
    <row r="21" spans="1:2">
      <c r="A21" t="s">
        <v>192</v>
      </c>
      <c r="B21" t="s">
        <v>193</v>
      </c>
    </row>
    <row r="22" spans="1:2">
      <c r="A22" t="s">
        <v>194</v>
      </c>
      <c r="B22" t="s">
        <v>195</v>
      </c>
    </row>
    <row r="23" spans="1:2">
      <c r="A23" t="s">
        <v>196</v>
      </c>
      <c r="B23" t="s">
        <v>197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Synthese</vt:lpstr>
      <vt:lpstr>Positions</vt:lpstr>
      <vt:lpstr>Historique</vt:lpstr>
      <vt:lpstr>Limites</vt:lpstr>
      <vt:lpstr>Graphiques</vt:lpstr>
      <vt:lpstr>Documentation</vt:lpstr>
      <vt:lpstr>DrawdownFonds</vt:lpstr>
      <vt:lpstr>NiveauConfianceVaR</vt:lpstr>
      <vt:lpstr>RendementActif</vt:lpstr>
      <vt:lpstr>RendementsBench</vt:lpstr>
      <vt:lpstr>RendementsFonds</vt:lpstr>
      <vt:lpstr>TauxSansRisque</vt:lpstr>
      <vt:lpstr>VLBench</vt:lpstr>
      <vt:lpstr>VLFonds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2026-08-01T14:19:20Z</dcterms:created>
  <dcterms:modified xsi:type="dcterms:W3CDTF">2026-08-01T14:19:20Z</dcterms:modified>
</cp:coreProperties>
</file>